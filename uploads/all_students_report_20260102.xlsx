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SSESSMENT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b val="1"/>
      <color theme="4" tint="-0.249977111117893"/>
      <sz val="14"/>
      <scheme val="major"/>
    </font>
    <font>
      <name val="Arial"/>
      <family val="2"/>
      <b val="1"/>
      <color indexed="60"/>
      <sz val="18"/>
    </font>
    <font>
      <name val="Trebuchet MS"/>
      <family val="2"/>
      <color indexed="60"/>
      <sz val="18"/>
    </font>
    <font>
      <name val="Arial"/>
      <family val="2"/>
      <b val="1"/>
      <sz val="14"/>
    </font>
    <font>
      <name val="Tahoma"/>
      <family val="2"/>
      <sz val="8"/>
    </font>
    <font>
      <name val="Comic Sans MS"/>
      <family val="4"/>
      <sz val="12"/>
    </font>
    <font>
      <name val="Arial"/>
      <family val="2"/>
      <color theme="4" tint="-0.249977111117893"/>
      <sz val="8"/>
    </font>
    <font>
      <name val="Times New Roman"/>
      <family val="1"/>
      <b val="1"/>
      <sz val="14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Calibri Light"/>
      <family val="2"/>
      <b val="1"/>
      <sz val="8"/>
      <scheme val="major"/>
    </font>
    <font>
      <name val="Calibri Light"/>
      <family val="2"/>
      <sz val="8"/>
      <scheme val="major"/>
    </font>
    <font>
      <name val="Calibri Light"/>
      <family val="2"/>
      <color theme="0"/>
      <sz val="8"/>
      <scheme val="major"/>
    </font>
    <font>
      <name val="Calibri Light"/>
      <family val="2"/>
      <b val="1"/>
      <color theme="0"/>
      <sz val="8"/>
      <scheme val="major"/>
    </font>
    <font>
      <name val="Aptos"/>
      <family val="2"/>
      <b val="1"/>
      <sz val="8"/>
    </font>
    <font>
      <name val="Comic Sans MS"/>
      <family val="4"/>
      <b val="1"/>
      <sz val="11"/>
    </font>
    <font>
      <name val="Arial"/>
      <family val="2"/>
      <color indexed="63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0"/>
      <sz val="10"/>
    </font>
    <font>
      <name val="Arial"/>
      <family val="2"/>
      <b val="1"/>
      <color theme="0"/>
      <sz val="8"/>
    </font>
    <font>
      <name val="Arial"/>
      <family val="2"/>
      <b val="1"/>
      <sz val="11"/>
    </font>
    <font>
      <name val="Arial"/>
      <family val="2"/>
      <b val="1"/>
      <color theme="4" tint="-0.249977111117893"/>
      <sz val="9"/>
    </font>
    <font>
      <name val="Arial"/>
      <family val="2"/>
      <sz val="8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b val="1"/>
      <color theme="4" tint="-0.249977111117893"/>
      <sz val="8"/>
    </font>
    <font>
      <name val="Arial"/>
      <family val="2"/>
      <i val="1"/>
      <color theme="0" tint="-0.0499893185216834"/>
      <sz val="10"/>
    </font>
    <font>
      <name val="Arial"/>
      <family val="2"/>
      <color theme="0" tint="-0.0499893185216834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6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Times New Roman"/>
      <family val="1"/>
      <b val="1"/>
      <sz val="10"/>
    </font>
    <font>
      <name val="Arial"/>
      <family val="2"/>
      <color indexed="9"/>
      <sz val="8"/>
    </font>
    <font>
      <name val="Arial"/>
      <family val="2"/>
      <i val="1"/>
      <color indexed="23"/>
      <sz val="8"/>
    </font>
    <font>
      <name val="Arial"/>
      <family val="2"/>
      <color indexed="63"/>
      <sz val="10"/>
    </font>
    <font>
      <name val="Times New Roman"/>
      <family val="1"/>
      <sz val="10"/>
    </font>
    <font>
      <name val="Comic Sans MS"/>
      <family val="4"/>
      <b val="1"/>
      <sz val="9"/>
    </font>
  </fonts>
  <fills count="1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7">
    <xf numFmtId="0" fontId="0" fillId="0" borderId="0" pivotButton="0" quotePrefix="0" xfId="0"/>
    <xf numFmtId="0" fontId="2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top"/>
      <protection locked="0" hidden="0"/>
    </xf>
    <xf numFmtId="43" fontId="5" fillId="0" borderId="0" applyAlignment="1" applyProtection="1" pivotButton="0" quotePrefix="0" xfId="1">
      <alignment horizontal="left"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1">
      <alignment horizontal="center"/>
      <protection locked="0" hidden="0"/>
    </xf>
    <xf numFmtId="0" fontId="8" fillId="0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1" fillId="2" borderId="0" applyProtection="1" pivotButton="0" quotePrefix="0" xfId="0">
      <protection locked="0" hidden="0"/>
    </xf>
    <xf numFmtId="0" fontId="12" fillId="2" borderId="0" applyAlignment="1" applyProtection="1" pivotButton="0" quotePrefix="0" xfId="0">
      <alignment horizontal="center"/>
      <protection locked="0" hidden="0"/>
    </xf>
    <xf numFmtId="164" fontId="14" fillId="3" borderId="2" applyAlignment="1" applyProtection="1" pivotButton="0" quotePrefix="0" xfId="0">
      <alignment horizontal="center" vertical="center" wrapText="1"/>
      <protection locked="0" hidden="0"/>
    </xf>
    <xf numFmtId="164" fontId="14" fillId="0" borderId="2" applyAlignment="1" applyProtection="1" pivotButton="0" quotePrefix="0" xfId="0">
      <alignment horizontal="center" vertical="center" wrapText="1"/>
      <protection locked="0" hidden="0"/>
    </xf>
    <xf numFmtId="0" fontId="14" fillId="4" borderId="2" applyAlignment="1" applyProtection="1" pivotButton="0" quotePrefix="0" xfId="0">
      <alignment horizontal="center" vertical="center" wrapText="1"/>
      <protection locked="0" hidden="0"/>
    </xf>
    <xf numFmtId="0" fontId="14" fillId="5" borderId="2" applyAlignment="1" applyProtection="1" pivotButton="0" quotePrefix="0" xfId="0">
      <alignment horizontal="center" vertical="center" wrapText="1"/>
      <protection locked="0" hidden="0"/>
    </xf>
    <xf numFmtId="0" fontId="15" fillId="6" borderId="2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center" vertical="center" wrapText="1"/>
      <protection locked="0" hidden="0"/>
    </xf>
    <xf numFmtId="0" fontId="16" fillId="7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0" fontId="17" fillId="0" borderId="0" applyAlignment="1" applyProtection="1" pivotButton="0" quotePrefix="0" xfId="0">
      <alignment horizontal="center" vertical="top" wrapText="1"/>
      <protection locked="0" hidden="0"/>
    </xf>
    <xf numFmtId="0" fontId="18" fillId="0" borderId="3" applyAlignment="1" applyProtection="1" pivotButton="0" quotePrefix="0" xfId="2">
      <alignment horizontal="right"/>
      <protection locked="1" hidden="1"/>
    </xf>
    <xf numFmtId="0" fontId="19" fillId="0" borderId="0" applyAlignment="1" applyProtection="1" pivotButton="0" quotePrefix="0" xfId="0">
      <alignment horizontal="right" vertical="center"/>
      <protection locked="0" hidden="0"/>
    </xf>
    <xf numFmtId="0" fontId="20" fillId="8" borderId="4" applyAlignment="1" applyProtection="1" pivotButton="0" quotePrefix="0" xfId="0">
      <alignment horizontal="center"/>
      <protection locked="0" hidden="0"/>
    </xf>
    <xf numFmtId="0" fontId="20" fillId="0" borderId="4" applyAlignment="1" applyProtection="1" pivotButton="0" quotePrefix="0" xfId="0">
      <alignment horizontal="center"/>
      <protection locked="0" hidden="0"/>
    </xf>
    <xf numFmtId="0" fontId="21" fillId="8" borderId="4" applyAlignment="1" applyProtection="1" pivotButton="0" quotePrefix="0" xfId="0">
      <alignment horizontal="center"/>
      <protection locked="0" hidden="0"/>
    </xf>
    <xf numFmtId="0" fontId="20" fillId="8" borderId="4" applyAlignment="1" applyProtection="1" pivotButton="0" quotePrefix="0" xfId="2">
      <alignment horizontal="center"/>
      <protection locked="0" hidden="0"/>
    </xf>
    <xf numFmtId="0" fontId="21" fillId="8" borderId="4" applyAlignment="1" applyProtection="1" pivotButton="0" quotePrefix="0" xfId="2">
      <alignment horizontal="center"/>
      <protection locked="0" hidden="0"/>
    </xf>
    <xf numFmtId="0" fontId="22" fillId="8" borderId="4" applyAlignment="1" applyProtection="1" pivotButton="0" quotePrefix="0" xfId="2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23" fillId="2" borderId="0" applyAlignment="1" applyProtection="1" pivotButton="0" quotePrefix="0" xfId="0">
      <alignment horizontal="center"/>
      <protection locked="0" hidden="0"/>
    </xf>
    <xf numFmtId="0" fontId="24" fillId="2" borderId="0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23" fillId="4" borderId="0" applyAlignment="1" applyProtection="1" pivotButton="0" quotePrefix="0" xfId="0">
      <alignment horizontal="center"/>
      <protection locked="0" hidden="0"/>
    </xf>
    <xf numFmtId="0" fontId="24" fillId="4" borderId="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horizont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7" fillId="4" borderId="0" applyAlignment="1" applyProtection="1" pivotButton="0" quotePrefix="0" xfId="0">
      <alignment horizontal="center"/>
      <protection locked="1" hidden="1"/>
    </xf>
    <xf numFmtId="0" fontId="28" fillId="9" borderId="5" applyProtection="1" pivotButton="0" quotePrefix="0" xfId="0">
      <protection locked="0" hidden="0"/>
    </xf>
    <xf numFmtId="0" fontId="29" fillId="10" borderId="6" applyAlignment="1" applyProtection="1" pivotButton="0" quotePrefix="0" xfId="0">
      <alignment horizontal="left" vertical="center"/>
      <protection locked="0" hidden="0"/>
    </xf>
    <xf numFmtId="1" fontId="30" fillId="0" borderId="3" applyAlignment="1" applyProtection="1" pivotButton="0" quotePrefix="0" xfId="2">
      <alignment horizontal="center"/>
      <protection locked="0" hidden="0"/>
    </xf>
    <xf numFmtId="1" fontId="30" fillId="3" borderId="3" applyAlignment="1" applyProtection="1" pivotButton="0" quotePrefix="0" xfId="2">
      <alignment horizontal="center"/>
      <protection locked="1" hidden="1"/>
    </xf>
    <xf numFmtId="1" fontId="30" fillId="4" borderId="3" applyAlignment="1" applyProtection="1" pivotButton="0" quotePrefix="0" xfId="2">
      <alignment horizontal="center"/>
      <protection locked="1" hidden="1"/>
    </xf>
    <xf numFmtId="1" fontId="30" fillId="5" borderId="3" applyAlignment="1" applyProtection="1" pivotButton="0" quotePrefix="0" xfId="2">
      <alignment horizontal="center"/>
      <protection locked="1" hidden="1"/>
    </xf>
    <xf numFmtId="0" fontId="31" fillId="6" borderId="3" applyAlignment="1" applyProtection="1" pivotButton="0" quotePrefix="0" xfId="2">
      <alignment horizontal="center"/>
      <protection locked="1" hidden="1"/>
    </xf>
    <xf numFmtId="0" fontId="30" fillId="0" borderId="3" applyAlignment="1" applyProtection="1" pivotButton="0" quotePrefix="0" xfId="2">
      <alignment horizontal="center"/>
      <protection locked="0" hidden="0"/>
    </xf>
    <xf numFmtId="0" fontId="12" fillId="7" borderId="3" applyAlignment="1" applyProtection="1" pivotButton="0" quotePrefix="0" xfId="2">
      <alignment horizontal="center"/>
      <protection locked="1" hidden="1"/>
    </xf>
    <xf numFmtId="9" fontId="2" fillId="3" borderId="0" applyProtection="1" pivotButton="0" quotePrefix="0" xfId="2">
      <protection locked="1" hidden="1"/>
    </xf>
    <xf numFmtId="0" fontId="0" fillId="5" borderId="0" applyAlignment="1" applyProtection="1" pivotButton="0" quotePrefix="0" xfId="0">
      <alignment horizontal="center"/>
      <protection locked="1" hidden="1"/>
    </xf>
    <xf numFmtId="0" fontId="23" fillId="11" borderId="0" applyAlignment="1" applyProtection="1" pivotButton="0" quotePrefix="0" xfId="0">
      <alignment horizontal="center"/>
      <protection locked="1" hidden="1"/>
    </xf>
    <xf numFmtId="0" fontId="28" fillId="0" borderId="5" applyProtection="1" pivotButton="0" quotePrefix="0" xfId="0">
      <protection locked="0" hidden="0"/>
    </xf>
    <xf numFmtId="1" fontId="29" fillId="10" borderId="6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32" fillId="0" borderId="0" applyAlignment="1" applyProtection="1" pivotButton="0" quotePrefix="0" xfId="0">
      <alignment horizontal="right" vertical="center" indent="1"/>
      <protection locked="0" hidden="0"/>
    </xf>
    <xf numFmtId="0" fontId="32" fillId="0" borderId="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right"/>
      <protection locked="0" hidden="0"/>
    </xf>
    <xf numFmtId="0" fontId="34" fillId="0" borderId="0" applyProtection="1" pivotButton="0" quotePrefix="0" xfId="0">
      <protection locked="1" hidden="1"/>
    </xf>
    <xf numFmtId="0" fontId="35" fillId="12" borderId="0" applyAlignment="1" applyProtection="1" pivotButton="0" quotePrefix="0" xfId="0">
      <alignment horizontal="center" vertical="center"/>
      <protection locked="0" hidden="0"/>
    </xf>
    <xf numFmtId="0" fontId="36" fillId="12" borderId="0" applyAlignment="1" applyProtection="1" pivotButton="0" quotePrefix="0" xfId="0">
      <alignment horizontal="left" vertical="center" indent="1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9" fontId="0" fillId="0" borderId="7" applyAlignment="1" applyProtection="1" pivotButton="0" quotePrefix="0" xfId="2">
      <alignment horizontal="center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165" fontId="0" fillId="0" borderId="7" applyAlignment="1" applyProtection="1" pivotButton="0" quotePrefix="0" xfId="2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 vertical="center"/>
      <protection locked="0" hidden="0"/>
    </xf>
    <xf numFmtId="0" fontId="20" fillId="0" borderId="11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" fontId="29" fillId="8" borderId="6" applyProtection="1" pivotButton="0" quotePrefix="0" xfId="0"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1" hidden="1"/>
    </xf>
    <xf numFmtId="0" fontId="20" fillId="0" borderId="13" applyAlignment="1" applyProtection="1" pivotButton="0" quotePrefix="0" xfId="0">
      <alignment horizontal="center"/>
      <protection locked="0" hidden="0"/>
    </xf>
    <xf numFmtId="0" fontId="20" fillId="0" borderId="14" applyAlignment="1" applyProtection="1" pivotButton="0" quotePrefix="0" xfId="0">
      <alignment horizontal="center" vertical="center"/>
      <protection locked="1" hidden="1"/>
    </xf>
    <xf numFmtId="1" fontId="29" fillId="8" borderId="6" applyAlignment="1" applyProtection="1" pivotButton="0" quotePrefix="0" xfId="0">
      <alignment horizontal="left"/>
      <protection locked="0" hidden="0"/>
    </xf>
    <xf numFmtId="0" fontId="37" fillId="13" borderId="15" applyAlignment="1" applyProtection="1" pivotButton="0" quotePrefix="0" xfId="0">
      <alignment horizontal="left" vertical="center"/>
      <protection locked="0" hidden="0"/>
    </xf>
    <xf numFmtId="0" fontId="38" fillId="14" borderId="15" applyAlignment="1" applyProtection="1" pivotButton="0" quotePrefix="0" xfId="0">
      <alignment horizontal="left" vertical="center"/>
      <protection locked="0" hidden="0"/>
    </xf>
    <xf numFmtId="0" fontId="39" fillId="8" borderId="15" applyProtection="1" pivotButton="0" quotePrefix="0" xfId="0">
      <protection locked="0" hidden="0"/>
    </xf>
    <xf numFmtId="0" fontId="40" fillId="8" borderId="15" applyProtection="1" pivotButton="0" quotePrefix="0" xfId="0">
      <protection locked="0" hidden="0"/>
    </xf>
    <xf numFmtId="0" fontId="39" fillId="10" borderId="15" applyAlignment="1" applyProtection="1" pivotButton="0" quotePrefix="0" xfId="0">
      <alignment horizontal="left" vertical="center"/>
      <protection locked="0" hidden="0"/>
    </xf>
    <xf numFmtId="0" fontId="40" fillId="8" borderId="15" applyAlignment="1" applyProtection="1" pivotButton="0" quotePrefix="0" xfId="0">
      <alignment horizontal="left" vertical="center"/>
      <protection locked="0" hidden="0"/>
    </xf>
    <xf numFmtId="1" fontId="29" fillId="10" borderId="15" applyAlignment="1" applyProtection="1" pivotButton="0" quotePrefix="0" xfId="0">
      <alignment horizontal="left" vertical="center"/>
      <protection locked="0" hidden="0"/>
    </xf>
    <xf numFmtId="0" fontId="29" fillId="8" borderId="15" applyProtection="1" pivotButton="0" quotePrefix="0" xfId="0">
      <protection locked="0" hidden="0"/>
    </xf>
    <xf numFmtId="166" fontId="27" fillId="4" borderId="0" applyAlignment="1" applyProtection="1" pivotButton="0" quotePrefix="0" xfId="0">
      <alignment horizontal="left"/>
      <protection locked="0" hidden="0"/>
    </xf>
    <xf numFmtId="167" fontId="41" fillId="8" borderId="3" applyAlignment="1" applyProtection="1" pivotButton="0" quotePrefix="0" xfId="0">
      <alignment horizontal="left"/>
      <protection locked="0" hidden="0"/>
    </xf>
    <xf numFmtId="0" fontId="42" fillId="4" borderId="0" applyAlignment="1" applyProtection="1" pivotButton="0" quotePrefix="0" xfId="0">
      <alignment horizontal="right"/>
      <protection locked="0" hidden="0"/>
    </xf>
    <xf numFmtId="0" fontId="43" fillId="4" borderId="0" applyAlignment="1" applyProtection="1" pivotButton="0" quotePrefix="0" xfId="0">
      <alignment horizontal="left"/>
      <protection locked="0" hidden="0"/>
    </xf>
    <xf numFmtId="1" fontId="30" fillId="4" borderId="3" applyAlignment="1" applyProtection="1" pivotButton="0" quotePrefix="0" xfId="2">
      <alignment horizontal="center"/>
      <protection locked="0" hidden="0"/>
    </xf>
    <xf numFmtId="2" fontId="30" fillId="4" borderId="3" applyAlignment="1" applyProtection="1" pivotButton="0" quotePrefix="0" xfId="2">
      <alignment horizontal="center"/>
      <protection locked="0" hidden="0"/>
    </xf>
    <xf numFmtId="0" fontId="30" fillId="4" borderId="3" applyAlignment="1" applyProtection="1" pivotButton="0" quotePrefix="0" xfId="2">
      <alignment horizontal="center"/>
      <protection locked="0" hidden="0"/>
    </xf>
    <xf numFmtId="0" fontId="25" fillId="4" borderId="3" applyAlignment="1" applyProtection="1" pivotButton="0" quotePrefix="0" xfId="2">
      <alignment horizontal="center"/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168" fontId="2" fillId="4" borderId="0" applyProtection="1" pivotButton="0" quotePrefix="0" xfId="2">
      <protection locked="1" hidden="1"/>
    </xf>
    <xf numFmtId="0" fontId="2" fillId="4" borderId="0" applyProtection="1" pivotButton="0" quotePrefix="0" xfId="0">
      <protection locked="0" hidden="0"/>
    </xf>
    <xf numFmtId="0" fontId="44" fillId="12" borderId="0" applyAlignment="1" applyProtection="1" pivotButton="0" quotePrefix="0" xfId="0">
      <alignment horizontal="right" vertical="center"/>
      <protection locked="0" hidden="0"/>
    </xf>
    <xf numFmtId="0" fontId="30" fillId="15" borderId="0" applyAlignment="1" applyProtection="1" pivotButton="0" quotePrefix="0" xfId="2">
      <alignment horizontal="center"/>
      <protection locked="1" hidden="1"/>
    </xf>
    <xf numFmtId="0" fontId="30" fillId="15" borderId="0" applyAlignment="1" applyProtection="1" pivotButton="0" quotePrefix="0" xfId="2">
      <alignment horizontal="center"/>
      <protection locked="0" hidden="0"/>
    </xf>
    <xf numFmtId="165" fontId="2" fillId="15" borderId="0" applyAlignment="1" applyProtection="1" pivotButton="0" quotePrefix="0" xfId="0">
      <alignment horizontal="center"/>
      <protection locked="1" hidden="1"/>
    </xf>
    <xf numFmtId="9" fontId="2" fillId="12" borderId="0" applyProtection="1" pivotButton="0" quotePrefix="0" xfId="2">
      <protection locked="1" hidden="1"/>
    </xf>
    <xf numFmtId="0" fontId="2" fillId="12" borderId="0" applyAlignment="1" applyProtection="1" pivotButton="0" quotePrefix="0" xfId="0">
      <alignment horizontal="center"/>
      <protection locked="1" hidden="1"/>
    </xf>
    <xf numFmtId="0" fontId="42" fillId="0" borderId="0" applyAlignment="1" applyProtection="1" pivotButton="0" quotePrefix="0" xfId="0">
      <alignment horizontal="center"/>
      <protection locked="0" hidden="0"/>
    </xf>
    <xf numFmtId="0" fontId="46" fillId="0" borderId="0" applyProtection="1" pivotButton="0" quotePrefix="0" xfId="0">
      <protection locked="0" hidden="0"/>
    </xf>
    <xf numFmtId="164" fontId="14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3" fillId="0" borderId="16" applyAlignment="1" applyProtection="1" pivotButton="0" quotePrefix="0" xfId="0">
      <alignment horizontal="center" vertical="center" wrapText="1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0" fontId="20" fillId="0" borderId="9" applyAlignment="1" applyProtection="1" pivotButton="0" quotePrefix="0" xfId="0">
      <alignment horizontal="center" vertical="center"/>
      <protection locked="0" hidden="0"/>
    </xf>
    <xf numFmtId="0" fontId="28" fillId="9" borderId="17" applyProtection="1" pivotButton="0" quotePrefix="0" xfId="0">
      <protection locked="0" hidden="0"/>
    </xf>
    <xf numFmtId="0" fontId="29" fillId="10" borderId="0" applyAlignment="1" applyProtection="1" pivotButton="0" quotePrefix="0" xfId="0">
      <alignment horizontal="left" vertical="center"/>
      <protection locked="0" hidden="0"/>
    </xf>
    <xf numFmtId="0" fontId="45" fillId="2" borderId="4" applyProtection="1" pivotButton="0" quotePrefix="0" xfId="0">
      <protection locked="0" hidden="0"/>
    </xf>
    <xf numFmtId="0" fontId="10" fillId="4" borderId="4" applyProtection="1" pivotButton="0" quotePrefix="0" xfId="0">
      <protection locked="0" hidden="0"/>
    </xf>
    <xf numFmtId="0" fontId="10" fillId="4" borderId="4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Percent" xfId="2" builtinId="5"/>
  </cellStyles>
  <dxfs count="6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"/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left" vertical="bottom" indent="1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protection locked="0" hidden="0"/>
    </dxf>
    <dxf>
      <font>
        <name val="Arial"/>
        <b val="1"/>
        <strike val="0"/>
        <outline val="0"/>
        <shadow val="0"/>
        <condense val="0"/>
        <color indexed="63"/>
        <extend val="0"/>
        <sz val="10"/>
        <vertAlign val="baseline"/>
      </font>
      <fill>
        <patternFill patternType="solid">
          <fgColor indexed="64"/>
          <bgColor theme="4" tint="0.5999938962981048"/>
        </patternFill>
      </fill>
      <alignment horizontal="center" vertical="center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25</col>
      <colOff>34290</colOff>
      <row>0</row>
      <rowOff>0</rowOff>
    </from>
    <to>
      <col>25</col>
      <colOff>375286</colOff>
      <row>1</row>
      <rowOff>156211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722215" y="0"/>
          <a:ext cx="340996" cy="3467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25</col>
      <colOff>331470</colOff>
      <row>0</row>
      <rowOff>0</rowOff>
    </from>
    <to>
      <col>25</col>
      <colOff>571500</colOff>
      <row>1</row>
      <rowOff>115253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019395" y="0"/>
          <a:ext cx="240030" cy="3057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Z27:AC36" headerRowCount="1" totalsRowShown="0" headerRowDxfId="5" dataDxfId="4">
  <autoFilter ref="Z27:AC36"/>
  <tableColumns count="4">
    <tableColumn id="1" name="Grade" dataDxfId="3"/>
    <tableColumn id="2" name="Percent" dataDxfId="2" dataCellStyle="Percent"/>
    <tableColumn id="3" name="Performance" dataDxfId="1"/>
    <tableColumn id="4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tabSelected="1" workbookViewId="0">
      <selection activeCell="B4" sqref="B4"/>
    </sheetView>
  </sheetViews>
  <sheetFormatPr baseColWidth="8" defaultRowHeight="15"/>
  <cols>
    <col width="12.42578125" customWidth="1" style="5" min="1" max="1"/>
    <col width="34.85546875" customWidth="1" style="5" min="2" max="2"/>
    <col width="18.42578125" customWidth="1" style="5" min="3" max="3"/>
    <col width="20.140625" customWidth="1" style="5" min="4" max="4"/>
    <col width="8.140625" customWidth="1" style="4" min="5" max="5"/>
    <col width="9.140625" customWidth="1" style="4" min="6" max="6"/>
    <col width="7" customWidth="1" style="4" min="7" max="9"/>
    <col width="7.85546875" customWidth="1" style="4" min="10" max="10"/>
    <col width="7" customWidth="1" style="4" min="11" max="11"/>
    <col width="7.85546875" customWidth="1" style="4" min="12" max="12"/>
    <col width="7" customWidth="1" style="4" min="13" max="13"/>
    <col width="11.5703125" customWidth="1" style="4" min="14" max="15"/>
    <col width="8.85546875" customWidth="1" style="4" min="16" max="16"/>
    <col width="13.28515625" customWidth="1" style="4" min="17" max="17"/>
    <col width="7.7109375" customWidth="1" style="4" min="18" max="18"/>
    <col width="11.85546875" customWidth="1" style="4" min="19" max="19"/>
    <col width="7" customWidth="1" style="4" min="20" max="21"/>
    <col width="11.140625" customWidth="1" style="5" min="22" max="22"/>
    <col width="10.28515625" customWidth="1" style="5" min="23" max="23"/>
    <col width="9.140625" customWidth="1" style="4" min="24" max="24"/>
    <col width="5.28515625" customWidth="1" style="5" min="25" max="25"/>
    <col width="11.7109375" customWidth="1" style="5" min="26" max="26"/>
    <col width="10.140625" customWidth="1" style="5" min="27" max="27"/>
    <col width="15.5703125" customWidth="1" style="5" min="28" max="28"/>
    <col width="9.140625" customWidth="1" style="5" min="29" max="31"/>
  </cols>
  <sheetData>
    <row r="1" ht="23.25" customHeight="1">
      <c r="A1" s="104" t="inlineStr">
        <is>
          <t>SCHOOL:</t>
        </is>
      </c>
      <c r="B1" s="2" t="inlineStr">
        <is>
          <t>A.M.E ZION GIRLS' SENIOR HIGH SCHOOL-WINNEBA</t>
        </is>
      </c>
      <c r="C1" s="2" t="n"/>
      <c r="D1" s="3" t="n"/>
      <c r="E1" s="3" t="n"/>
      <c r="X1" s="6" t="n"/>
      <c r="Y1" s="1" t="n"/>
      <c r="Z1" s="7" t="n"/>
      <c r="AA1" s="1" t="n"/>
      <c r="AB1" s="1" t="n"/>
      <c r="AC1" s="1" t="n"/>
      <c r="AD1" s="1" t="n"/>
      <c r="AE1" s="1" t="n"/>
    </row>
    <row r="2" ht="18" customHeight="1">
      <c r="A2" s="104" t="inlineStr">
        <is>
          <t>SUBJECT:</t>
        </is>
      </c>
      <c r="B2" s="8" t="n"/>
      <c r="C2" s="8" t="n"/>
      <c r="Z2" s="9" t="inlineStr">
        <is>
          <t>©2025 derrygee</t>
        </is>
      </c>
    </row>
    <row r="3" ht="19.5" customHeight="1">
      <c r="A3" s="104" t="inlineStr">
        <is>
          <t>TERM/YEAR:</t>
        </is>
      </c>
      <c r="B3" s="10" t="n"/>
      <c r="C3" s="10">
        <f>COUNTA(B10:B110)</f>
        <v/>
      </c>
      <c r="T3" s="11" t="inlineStr">
        <is>
          <t>Insert new columns here: ►</t>
        </is>
      </c>
      <c r="U3" s="11" t="inlineStr">
        <is>
          <t xml:space="preserve">◄ </t>
        </is>
      </c>
    </row>
    <row r="4" ht="18.75" customHeight="1">
      <c r="A4" s="104" t="inlineStr">
        <is>
          <t>FORM:</t>
        </is>
      </c>
      <c r="B4" s="12" t="n"/>
      <c r="C4" s="12" t="n"/>
    </row>
    <row r="5" ht="15.75" customHeight="1">
      <c r="E5" s="13" t="inlineStr">
        <is>
          <t>CONTINOUS ASSESSMENT SHEET - 2025</t>
        </is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33.75" customHeight="1">
      <c r="E6" s="107" t="inlineStr">
        <is>
          <t>INDIVIDUAL CLASS ASSESSMENT</t>
        </is>
      </c>
      <c r="F6" s="106" t="n"/>
      <c r="G6" s="15" t="inlineStr">
        <is>
          <t>SUB TOTAL (I.C.A.)</t>
        </is>
      </c>
      <c r="H6" s="105" t="inlineStr">
        <is>
          <t>INDIVIDUAL CLASS PROJECT</t>
        </is>
      </c>
      <c r="I6" s="106" t="n"/>
      <c r="J6" s="15" t="inlineStr">
        <is>
          <t>SUB TOTAL TEST(C.P)</t>
        </is>
      </c>
      <c r="K6" s="105" t="inlineStr">
        <is>
          <t>GROUP PROJECT/RESEARCH</t>
        </is>
      </c>
      <c r="L6" s="106" t="n"/>
      <c r="M6" s="15" t="inlineStr">
        <is>
          <t>SUB TOTAL (G.P)</t>
        </is>
      </c>
      <c r="N6" s="16" t="inlineStr">
        <is>
          <t>PRACTICAL PORTFOLIO</t>
        </is>
      </c>
      <c r="O6" s="16" t="inlineStr">
        <is>
          <t>MID TERM EXAMS</t>
        </is>
      </c>
      <c r="P6" s="17" t="inlineStr">
        <is>
          <t xml:space="preserve"> TOTAL CLASS SCORE</t>
        </is>
      </c>
      <c r="Q6" s="18" t="inlineStr">
        <is>
          <t>100% OF TOTAL CLASS SCORE</t>
        </is>
      </c>
      <c r="R6" s="19" t="inlineStr">
        <is>
          <t xml:space="preserve"> AVG. CLASS SC.</t>
        </is>
      </c>
      <c r="S6" s="20" t="inlineStr">
        <is>
          <t xml:space="preserve"> END OF TERM EXAMS </t>
        </is>
      </c>
      <c r="T6" s="19" t="inlineStr">
        <is>
          <t xml:space="preserve"> AVG. EXAMS SC.</t>
        </is>
      </c>
      <c r="U6" s="21" t="inlineStr">
        <is>
          <t>TOTAL 50 + 50</t>
        </is>
      </c>
      <c r="W6" s="22" t="n"/>
    </row>
    <row r="7" ht="18" customHeight="1">
      <c r="B7" s="23" t="inlineStr">
        <is>
          <t>TOTAL STUDENTS</t>
        </is>
      </c>
      <c r="C7" s="24">
        <f>COUNTA(B10:B110)</f>
        <v/>
      </c>
      <c r="D7" s="25" t="inlineStr">
        <is>
          <t>Points/Weighting:</t>
        </is>
      </c>
      <c r="E7" s="26" t="n">
        <v>50</v>
      </c>
      <c r="F7" s="26" t="n">
        <v>50</v>
      </c>
      <c r="G7" s="26" t="n">
        <v>100</v>
      </c>
      <c r="H7" s="26" t="n">
        <v>50</v>
      </c>
      <c r="I7" s="26" t="n">
        <v>50</v>
      </c>
      <c r="J7" s="26" t="n">
        <v>100</v>
      </c>
      <c r="K7" s="26" t="n">
        <v>50</v>
      </c>
      <c r="L7" s="26" t="n">
        <v>50</v>
      </c>
      <c r="M7" s="26" t="n">
        <v>100</v>
      </c>
      <c r="N7" s="27" t="n">
        <v>100</v>
      </c>
      <c r="O7" s="27" t="n">
        <v>100</v>
      </c>
      <c r="P7" s="26" t="n">
        <v>500</v>
      </c>
      <c r="Q7" s="26" t="n">
        <v>100</v>
      </c>
      <c r="R7" s="28" t="n">
        <v>50</v>
      </c>
      <c r="S7" s="29" t="n">
        <v>100</v>
      </c>
      <c r="T7" s="30" t="n">
        <v>50</v>
      </c>
      <c r="U7" s="31" t="n">
        <v>100</v>
      </c>
      <c r="V7" s="23" t="n"/>
      <c r="W7" s="24" t="n"/>
    </row>
    <row r="8">
      <c r="A8" s="32" t="n"/>
      <c r="B8" s="32" t="n"/>
      <c r="C8" s="32" t="n"/>
      <c r="D8" s="32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3" t="n"/>
      <c r="T8" s="34" t="n"/>
      <c r="U8" s="35" t="n"/>
      <c r="V8" s="32" t="n"/>
      <c r="W8" s="32" t="n"/>
      <c r="X8" s="33" t="n"/>
    </row>
    <row r="9" ht="18.75" customHeight="1">
      <c r="A9" s="112" t="inlineStr">
        <is>
          <t>Serial Number</t>
        </is>
      </c>
      <c r="B9" s="113" t="inlineStr">
        <is>
          <t>Name of Students</t>
        </is>
      </c>
      <c r="C9" s="113" t="inlineStr">
        <is>
          <t>Ref. Id</t>
        </is>
      </c>
      <c r="D9" s="114" t="inlineStr">
        <is>
          <t>Study Area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7" t="n"/>
      <c r="S9" s="36" t="n"/>
      <c r="T9" s="37" t="n"/>
      <c r="U9" s="38" t="n"/>
      <c r="V9" s="39" t="inlineStr">
        <is>
          <t>%</t>
        </is>
      </c>
      <c r="W9" s="39" t="inlineStr">
        <is>
          <t>GPA</t>
        </is>
      </c>
      <c r="X9" s="39" t="inlineStr">
        <is>
          <t>Grade</t>
        </is>
      </c>
      <c r="Z9" s="40" t="inlineStr">
        <is>
          <t>INSTRUCTIONS</t>
        </is>
      </c>
    </row>
    <row r="10">
      <c r="A10" s="41" t="n">
        <v>1</v>
      </c>
      <c r="B10" s="110" t="n"/>
      <c r="C10" s="111" t="n"/>
      <c r="D10" s="110" t="n"/>
      <c r="E10" s="44" t="n">
        <v>0</v>
      </c>
      <c r="F10" s="44" t="n">
        <v>0</v>
      </c>
      <c r="G10" s="45">
        <f>MIN(100, (SUM(E10:F10)))</f>
        <v/>
      </c>
      <c r="H10" s="44" t="n">
        <v>0</v>
      </c>
      <c r="I10" s="44" t="n">
        <v>0</v>
      </c>
      <c r="J10" s="45">
        <f>MIN(100,(SUM(H10:I10)))</f>
        <v/>
      </c>
      <c r="K10" s="44" t="n">
        <v>0</v>
      </c>
      <c r="L10" s="44" t="n">
        <v>0</v>
      </c>
      <c r="M10" s="45">
        <f>MIN(100,(SUM(K10:L10)))</f>
        <v/>
      </c>
      <c r="N10" s="44" t="n">
        <v>0</v>
      </c>
      <c r="O10" s="44" t="n">
        <v>0</v>
      </c>
      <c r="P10" s="46">
        <f>MIN(500, (SUM(G10,J10,M10,N10,O10)))</f>
        <v/>
      </c>
      <c r="Q10" s="47">
        <f>P10/500*100</f>
        <v/>
      </c>
      <c r="R10" s="48">
        <f>MIN(50, (ROUNDUP(SUM(Q10)/2,0)))</f>
        <v/>
      </c>
      <c r="S10" s="44" t="n">
        <v>0</v>
      </c>
      <c r="T10" s="48">
        <f>MIN(50, (ROUNDUP(SUM(S10)/2,0)))</f>
        <v/>
      </c>
      <c r="U10" s="50">
        <f>MIN(100, (SUM(R10,T10)))</f>
        <v/>
      </c>
      <c r="V10" s="51">
        <f>(U10/100)</f>
        <v/>
      </c>
      <c r="W10" s="52">
        <f>IF(U10&gt;=80,"4.0",IF(U10&gt;=70,"3.5",IF(U10&gt;=65,"3.0",IF(U10&gt;=60,"2.5",IF(U10&gt;=55,"2.0",IF(U10&gt;=50,"1.5",IF(U10&gt;=45,"1.0",IF(U10&gt;=40,"0.5",IF(U10&lt;40,"0.0")))))))))</f>
        <v/>
      </c>
      <c r="X10" s="53">
        <f>IF(U10&gt;=80,"A1",IF(U10&gt;=70,"B2",IF(U10&gt;=65,"B3",IF(U10&gt;=60,"C4",IF(U10&gt;=55,"C5",IF(U10&gt;=50,"C6",IF(U10&gt;=45,"D7",IF(U10&gt;=40,"E8",IF(U10&lt;40,"F9")))))))))</f>
        <v/>
      </c>
    </row>
    <row r="11">
      <c r="A11" s="41" t="n">
        <v>2</v>
      </c>
      <c r="B11" s="54" t="n"/>
      <c r="C11" s="55" t="n"/>
      <c r="D11" s="54" t="n"/>
      <c r="E11" s="44" t="n">
        <v>0</v>
      </c>
      <c r="F11" s="44" t="n">
        <v>0</v>
      </c>
      <c r="G11" s="45">
        <f>MIN(100, (SUM(E11:F11)))</f>
        <v/>
      </c>
      <c r="H11" s="44" t="n">
        <v>0</v>
      </c>
      <c r="I11" s="44" t="n">
        <v>0</v>
      </c>
      <c r="J11" s="45">
        <f>MIN(100,(SUM(H11:I11)))</f>
        <v/>
      </c>
      <c r="K11" s="44" t="n">
        <v>0</v>
      </c>
      <c r="L11" s="44" t="n">
        <v>0</v>
      </c>
      <c r="M11" s="45">
        <f>MIN(100,(SUM(K11:L11)))</f>
        <v/>
      </c>
      <c r="N11" s="44" t="n">
        <v>0</v>
      </c>
      <c r="O11" s="44" t="n">
        <v>0</v>
      </c>
      <c r="P11" s="46">
        <f>MIN(500, (SUM(G11,J11,M11,N11,O11)))</f>
        <v/>
      </c>
      <c r="Q11" s="47">
        <f>P11/500*100</f>
        <v/>
      </c>
      <c r="R11" s="48">
        <f>MIN(50, (ROUNDUP(SUM(Q11)/2,0)))</f>
        <v/>
      </c>
      <c r="S11" s="44" t="n">
        <v>0</v>
      </c>
      <c r="T11" s="48">
        <f>MIN(50, (ROUNDUP(SUM(S11)/2,0)))</f>
        <v/>
      </c>
      <c r="U11" s="50">
        <f>MIN(100, (SUM(R11,T11)))</f>
        <v/>
      </c>
      <c r="V11" s="51">
        <f>(U11/100)</f>
        <v/>
      </c>
      <c r="W11" s="52">
        <f>IF(U11&gt;=80,"4.0",IF(U11&gt;=70,"3.5",IF(U11&gt;=65,"3.0",IF(U11&gt;=60,"2.5",IF(U11&gt;=55,"2.0",IF(U11&gt;=50,"1.5",IF(U11&gt;=45,"1.0",IF(U11&gt;=40,"0.5",IF(U11&lt;40,"0.0")))))))))</f>
        <v/>
      </c>
      <c r="X11" s="53">
        <f>IF(U11&gt;=80,"A1",IF(U11&gt;=70,"B2",IF(U11&gt;=65,"B3",IF(U11&gt;=60,"C4",IF(U11&gt;=55,"C5",IF(U11&gt;=50,"C6",IF(U11&gt;=45,"D7",IF(U11&gt;=40,"E8",IF(U11&lt;40,"F9")))))))))</f>
        <v/>
      </c>
      <c r="Z11" s="56" t="inlineStr">
        <is>
          <t>► First, list the names and assign IDs in the Names worksheet.</t>
        </is>
      </c>
    </row>
    <row r="12">
      <c r="A12" s="41" t="n">
        <v>3</v>
      </c>
      <c r="B12" s="42" t="n"/>
      <c r="C12" s="55" t="n"/>
      <c r="D12" s="42" t="n"/>
      <c r="E12" s="44" t="n">
        <v>0</v>
      </c>
      <c r="F12" s="44" t="n">
        <v>0</v>
      </c>
      <c r="G12" s="45">
        <f>MIN(100, (SUM(E12:F12)))</f>
        <v/>
      </c>
      <c r="H12" s="44" t="n">
        <v>0</v>
      </c>
      <c r="I12" s="44" t="n">
        <v>0</v>
      </c>
      <c r="J12" s="45">
        <f>MIN(100,(SUM(H12:I12)))</f>
        <v/>
      </c>
      <c r="K12" s="44" t="n">
        <v>0</v>
      </c>
      <c r="L12" s="44" t="n">
        <v>0</v>
      </c>
      <c r="M12" s="45">
        <f>MIN(100,(SUM(K12:L12)))</f>
        <v/>
      </c>
      <c r="N12" s="44" t="n">
        <v>0</v>
      </c>
      <c r="O12" s="44" t="n">
        <v>0</v>
      </c>
      <c r="P12" s="46">
        <f>MIN(500, (SUM(G12,J12,M12,N12,O12)))</f>
        <v/>
      </c>
      <c r="Q12" s="47">
        <f>P12/500*100</f>
        <v/>
      </c>
      <c r="R12" s="48">
        <f>MIN(50, (ROUNDUP(SUM(Q12)/2,0)))</f>
        <v/>
      </c>
      <c r="S12" s="49" t="n">
        <v>0</v>
      </c>
      <c r="T12" s="48">
        <f>MIN(50, (ROUNDUP(SUM(S12)/2,0)))</f>
        <v/>
      </c>
      <c r="U12" s="50">
        <f>MIN(100, (SUM(R12,T12)))</f>
        <v/>
      </c>
      <c r="V12" s="51">
        <f>(U12/100)</f>
        <v/>
      </c>
      <c r="W12" s="52">
        <f>IF(U12&gt;=80,"4.0",IF(U12&gt;=70,"3.5",IF(U12&gt;=65,"3.0",IF(U12&gt;=60,"2.5",IF(U12&gt;=55,"2.0",IF(U12&gt;=50,"1.5",IF(U12&gt;=45,"1.0",IF(U12&gt;=40,"0.5",IF(U12&lt;40,"0.0")))))))))</f>
        <v/>
      </c>
      <c r="X12" s="53">
        <f>IF(U12&gt;=80,"A1",IF(U12&gt;=70,"B2",IF(U12&gt;=65,"B3",IF(U12&gt;=60,"C4",IF(U12&gt;=55,"C5",IF(U12&gt;=50,"C6",IF(U12&gt;=45,"D7",IF(U12&gt;=40,"E8",IF(U12&lt;40,"F9")))))))))</f>
        <v/>
      </c>
      <c r="Z12" s="56" t="inlineStr">
        <is>
          <t>► Edit only the assignment labels, points/weighting, and assignment percentages</t>
        </is>
      </c>
    </row>
    <row r="13">
      <c r="A13" s="41" t="n">
        <v>4</v>
      </c>
      <c r="B13" s="54" t="n"/>
      <c r="C13" s="43" t="n"/>
      <c r="D13" s="54" t="n"/>
      <c r="E13" s="44" t="n">
        <v>0</v>
      </c>
      <c r="F13" s="44" t="n">
        <v>0</v>
      </c>
      <c r="G13" s="45">
        <f>MIN(100, (SUM(E13:F13)))</f>
        <v/>
      </c>
      <c r="H13" s="44" t="n">
        <v>0</v>
      </c>
      <c r="I13" s="44" t="n">
        <v>0</v>
      </c>
      <c r="J13" s="45">
        <f>MIN(100,(SUM(H13:I13)))</f>
        <v/>
      </c>
      <c r="K13" s="44" t="n">
        <v>0</v>
      </c>
      <c r="L13" s="44" t="n">
        <v>0</v>
      </c>
      <c r="M13" s="45">
        <f>MIN(100,(SUM(K13:L13)))</f>
        <v/>
      </c>
      <c r="N13" s="44" t="n">
        <v>0</v>
      </c>
      <c r="O13" s="44" t="n">
        <v>0</v>
      </c>
      <c r="P13" s="46">
        <f>MIN(500, (SUM(G13,J13,M13,N13,O13)))</f>
        <v/>
      </c>
      <c r="Q13" s="47">
        <f>P13/500*100</f>
        <v/>
      </c>
      <c r="R13" s="48">
        <f>MIN(50, (ROUNDUP(SUM(Q13)/2,0)))</f>
        <v/>
      </c>
      <c r="S13" s="49" t="n">
        <v>0</v>
      </c>
      <c r="T13" s="48">
        <f>MIN(50, (ROUNDUP(SUM(S13)/2,0)))</f>
        <v/>
      </c>
      <c r="U13" s="50">
        <f>MIN(100, (SUM(R13,T13)))</f>
        <v/>
      </c>
      <c r="V13" s="51">
        <f>(U13/100)</f>
        <v/>
      </c>
      <c r="W13" s="52">
        <f>IF(U13&gt;=80,"4.0",IF(U13&gt;=70,"3.5",IF(U13&gt;=65,"3.0",IF(U13&gt;=60,"2.5",IF(U13&gt;=55,"2.0",IF(U13&gt;=50,"1.5",IF(U13&gt;=45,"1.0",IF(U13&gt;=40,"0.5",IF(U13&lt;40,"0.0")))))))))</f>
        <v/>
      </c>
      <c r="X13" s="53">
        <f>IF(U13&gt;=80,"A1",IF(U13&gt;=70,"B2",IF(U13&gt;=65,"B3",IF(U13&gt;=60,"C4",IF(U13&gt;=55,"C5",IF(U13&gt;=50,"C6",IF(U13&gt;=45,"D7",IF(U13&gt;=40,"E8",IF(U13&lt;40,"F9")))))))))</f>
        <v/>
      </c>
      <c r="Z13" s="56" t="inlineStr">
        <is>
          <t xml:space="preserve">     (the cells with borders and white backgrounds)</t>
        </is>
      </c>
    </row>
    <row r="14">
      <c r="A14" s="41" t="n">
        <v>5</v>
      </c>
      <c r="B14" s="42" t="n"/>
      <c r="C14" s="55" t="n"/>
      <c r="D14" s="42" t="n"/>
      <c r="E14" s="44" t="n">
        <v>0</v>
      </c>
      <c r="F14" s="44" t="n">
        <v>0</v>
      </c>
      <c r="G14" s="45">
        <f>MIN(100, (SUM(E14:F14)))</f>
        <v/>
      </c>
      <c r="H14" s="44" t="n">
        <v>0</v>
      </c>
      <c r="I14" s="44" t="n">
        <v>0</v>
      </c>
      <c r="J14" s="45">
        <f>MIN(100,(SUM(H14:I14)))</f>
        <v/>
      </c>
      <c r="K14" s="44" t="n">
        <v>0</v>
      </c>
      <c r="L14" s="44" t="n">
        <v>0</v>
      </c>
      <c r="M14" s="45">
        <f>MIN(100,(SUM(K14:L14)))</f>
        <v/>
      </c>
      <c r="N14" s="44" t="n">
        <v>0</v>
      </c>
      <c r="O14" s="44" t="n">
        <v>0</v>
      </c>
      <c r="P14" s="46">
        <f>MIN(500, (SUM(G14,J14,M14,N14,O14)))</f>
        <v/>
      </c>
      <c r="Q14" s="47">
        <f>P14/500*100</f>
        <v/>
      </c>
      <c r="R14" s="48">
        <f>MIN(50, (ROUNDUP(SUM(Q14)/2,0)))</f>
        <v/>
      </c>
      <c r="S14" s="49" t="n">
        <v>0</v>
      </c>
      <c r="T14" s="48">
        <f>MIN(50, (ROUNDUP(SUM(S14)/2,0)))</f>
        <v/>
      </c>
      <c r="U14" s="50">
        <f>MIN(100, (SUM(R14,T14)))</f>
        <v/>
      </c>
      <c r="V14" s="51">
        <f>(U14/100)</f>
        <v/>
      </c>
      <c r="W14" s="52">
        <f>IF(U14&gt;=80,"4.0",IF(U14&gt;=70,"3.5",IF(U14&gt;=65,"3.0",IF(U14&gt;=60,"2.5",IF(U14&gt;=55,"2.0",IF(U14&gt;=50,"1.5",IF(U14&gt;=45,"1.0",IF(U14&gt;=40,"0.5",IF(U14&lt;40,"0.0")))))))))</f>
        <v/>
      </c>
      <c r="X14" s="53">
        <f>IF(U14&gt;=80,"A1",IF(U14&gt;=70,"B2",IF(U14&gt;=65,"B3",IF(U14&gt;=60,"C4",IF(U14&gt;=55,"C5",IF(U14&gt;=50,"C6",IF(U14&gt;=45,"D7",IF(U14&gt;=40,"E8",IF(U14&lt;40,"F9")))))))))</f>
        <v/>
      </c>
      <c r="Z14" s="56" t="inlineStr">
        <is>
          <t>► Select Yes/No from the Display IDs box below to show either names or IDs.</t>
        </is>
      </c>
    </row>
    <row r="15">
      <c r="A15" s="41" t="n">
        <v>6</v>
      </c>
      <c r="B15" s="54" t="n"/>
      <c r="C15" s="55" t="n"/>
      <c r="D15" s="54" t="n"/>
      <c r="E15" s="44" t="n">
        <v>0</v>
      </c>
      <c r="F15" s="44" t="n">
        <v>0</v>
      </c>
      <c r="G15" s="45">
        <f>MIN(100, (SUM(E15:F15)))</f>
        <v/>
      </c>
      <c r="H15" s="44" t="n">
        <v>0</v>
      </c>
      <c r="I15" s="44" t="n">
        <v>0</v>
      </c>
      <c r="J15" s="45">
        <f>MIN(100,(SUM(H15:I15)))</f>
        <v/>
      </c>
      <c r="K15" s="44" t="n">
        <v>0</v>
      </c>
      <c r="L15" s="44" t="n">
        <v>0</v>
      </c>
      <c r="M15" s="45">
        <f>MIN(100,(SUM(K15:L15)))</f>
        <v/>
      </c>
      <c r="N15" s="44" t="n">
        <v>0</v>
      </c>
      <c r="O15" s="44" t="n">
        <v>0</v>
      </c>
      <c r="P15" s="46">
        <f>MIN(500, (SUM(G15,J15,M15,N15,O15)))</f>
        <v/>
      </c>
      <c r="Q15" s="47">
        <f>P15/500*100</f>
        <v/>
      </c>
      <c r="R15" s="48">
        <f>MIN(50, (ROUNDUP(SUM(Q15)/2,0)))</f>
        <v/>
      </c>
      <c r="S15" s="49" t="n">
        <v>0</v>
      </c>
      <c r="T15" s="48">
        <f>MIN(50, (ROUNDUP(SUM(S15)/2,0)))</f>
        <v/>
      </c>
      <c r="U15" s="50">
        <f>MIN(100, (SUM(R15,T15)))</f>
        <v/>
      </c>
      <c r="V15" s="51">
        <f>(U15/100)</f>
        <v/>
      </c>
      <c r="W15" s="52">
        <f>IF(U15&gt;=80,"4.0",IF(U15&gt;=70,"3.5",IF(U15&gt;=65,"3.0",IF(U15&gt;=60,"2.5",IF(U15&gt;=55,"2.0",IF(U15&gt;=50,"1.5",IF(U15&gt;=45,"1.0",IF(U15&gt;=40,"0.5",IF(U15&lt;40,"0.0")))))))))</f>
        <v/>
      </c>
      <c r="X15" s="53">
        <f>IF(U15&gt;=80,"A1",IF(U15&gt;=70,"B2",IF(U15&gt;=65,"B3",IF(U15&gt;=60,"C4",IF(U15&gt;=55,"C5",IF(U15&gt;=50,"C6",IF(U15&gt;=45,"D7",IF(U15&gt;=40,"E8",IF(U15&lt;40,"F9")))))))))</f>
        <v/>
      </c>
      <c r="Z15" s="56" t="inlineStr">
        <is>
          <t>► To insert new columns, copying an existing column and then</t>
        </is>
      </c>
    </row>
    <row r="16">
      <c r="A16" s="41" t="n">
        <v>7</v>
      </c>
      <c r="B16" s="42" t="n"/>
      <c r="C16" s="55" t="n"/>
      <c r="D16" s="42" t="n"/>
      <c r="E16" s="44" t="n">
        <v>0</v>
      </c>
      <c r="F16" s="44" t="n">
        <v>0</v>
      </c>
      <c r="G16" s="45">
        <f>MIN(100, (SUM(E16:F16)))</f>
        <v/>
      </c>
      <c r="H16" s="44" t="n">
        <v>0</v>
      </c>
      <c r="I16" s="44" t="n">
        <v>0</v>
      </c>
      <c r="J16" s="45">
        <f>MIN(100,(SUM(H16:I16)))</f>
        <v/>
      </c>
      <c r="K16" s="44" t="n">
        <v>0</v>
      </c>
      <c r="L16" s="44" t="n">
        <v>0</v>
      </c>
      <c r="M16" s="45">
        <f>MIN(100,(SUM(K16:L16)))</f>
        <v/>
      </c>
      <c r="N16" s="44" t="n">
        <v>0</v>
      </c>
      <c r="O16" s="44" t="n">
        <v>0</v>
      </c>
      <c r="P16" s="46">
        <f>MIN(500, (SUM(G16,J16,M16,N16,O16)))</f>
        <v/>
      </c>
      <c r="Q16" s="47">
        <f>P16/500*100</f>
        <v/>
      </c>
      <c r="R16" s="48">
        <f>MIN(50, (ROUNDUP(SUM(Q16)/2,0)))</f>
        <v/>
      </c>
      <c r="S16" s="49" t="n">
        <v>0</v>
      </c>
      <c r="T16" s="48">
        <f>MIN(50, (ROUNDUP(SUM(S16)/2,0)))</f>
        <v/>
      </c>
      <c r="U16" s="50">
        <f>MIN(100, (SUM(R16,T16)))</f>
        <v/>
      </c>
      <c r="V16" s="51">
        <f>(U16/100)</f>
        <v/>
      </c>
      <c r="W16" s="52">
        <f>IF(U16&gt;=80,"4.0",IF(U16&gt;=70,"3.5",IF(U16&gt;=65,"3.0",IF(U16&gt;=60,"2.5",IF(U16&gt;=55,"2.0",IF(U16&gt;=50,"1.5",IF(U16&gt;=45,"1.0",IF(U16&gt;=40,"0.5",IF(U16&lt;40,"0.0")))))))))</f>
        <v/>
      </c>
      <c r="X16" s="53">
        <f>IF(U16&gt;=80,"A1",IF(U16&gt;=70,"B2",IF(U16&gt;=65,"B3",IF(U16&gt;=60,"C4",IF(U16&gt;=55,"C5",IF(U16&gt;=50,"C6",IF(U16&gt;=45,"D7",IF(U16&gt;=40,"E8",IF(U16&lt;40,"F9")))))))))</f>
        <v/>
      </c>
      <c r="Z16" s="56" t="inlineStr">
        <is>
          <t xml:space="preserve">     insert it after column C and before column P.</t>
        </is>
      </c>
    </row>
    <row r="17">
      <c r="A17" s="41" t="n">
        <v>8</v>
      </c>
      <c r="B17" s="54" t="n"/>
      <c r="C17" s="55" t="n"/>
      <c r="D17" s="54" t="n"/>
      <c r="E17" s="44" t="n">
        <v>0</v>
      </c>
      <c r="F17" s="44" t="n">
        <v>0</v>
      </c>
      <c r="G17" s="45">
        <f>MIN(100, (SUM(E17:F17)))</f>
        <v/>
      </c>
      <c r="H17" s="44" t="n">
        <v>0</v>
      </c>
      <c r="I17" s="44" t="n">
        <v>0</v>
      </c>
      <c r="J17" s="45">
        <f>MIN(100,(SUM(H17:I17)))</f>
        <v/>
      </c>
      <c r="K17" s="44" t="n">
        <v>0</v>
      </c>
      <c r="L17" s="44" t="n">
        <v>0</v>
      </c>
      <c r="M17" s="45">
        <f>MIN(100,(SUM(K17:L17)))</f>
        <v/>
      </c>
      <c r="N17" s="44" t="n">
        <v>0</v>
      </c>
      <c r="O17" s="44" t="n">
        <v>0</v>
      </c>
      <c r="P17" s="46">
        <f>MIN(500, (SUM(G17,J17,M17,N17,O17)))</f>
        <v/>
      </c>
      <c r="Q17" s="47">
        <f>P17/500*100</f>
        <v/>
      </c>
      <c r="R17" s="48">
        <f>MIN(50, (ROUNDUP(SUM(Q17)/2,0)))</f>
        <v/>
      </c>
      <c r="S17" s="49" t="n">
        <v>0</v>
      </c>
      <c r="T17" s="48">
        <f>MIN(50, (ROUNDUP(SUM(S17)/2,0)))</f>
        <v/>
      </c>
      <c r="U17" s="50">
        <f>MIN(100, (SUM(R17,T17)))</f>
        <v/>
      </c>
      <c r="V17" s="51">
        <f>(U17/100)</f>
        <v/>
      </c>
      <c r="W17" s="52">
        <f>IF(U17&gt;=80,"4.0",IF(U17&gt;=70,"3.5",IF(U17&gt;=65,"3.0",IF(U17&gt;=60,"2.5",IF(U17&gt;=55,"2.0",IF(U17&gt;=50,"1.5",IF(U17&gt;=45,"1.0",IF(U17&gt;=40,"0.5",IF(U17&lt;40,"0.0")))))))))</f>
        <v/>
      </c>
      <c r="X17" s="53">
        <f>IF(U17&gt;=80,"A1",IF(U17&gt;=70,"B2",IF(U17&gt;=65,"B3",IF(U17&gt;=60,"C4",IF(U17&gt;=55,"C5",IF(U17&gt;=50,"C6",IF(U17&gt;=45,"D7",IF(U17&gt;=40,"E8",IF(U17&lt;40,"F9")))))))))</f>
        <v/>
      </c>
      <c r="Z17" s="56" t="inlineStr">
        <is>
          <t>► Grades left blank are considered to be excused or not yet completed.</t>
        </is>
      </c>
    </row>
    <row r="18">
      <c r="A18" s="41" t="n">
        <v>9</v>
      </c>
      <c r="B18" s="42" t="n"/>
      <c r="C18" s="55" t="n"/>
      <c r="D18" s="42" t="n"/>
      <c r="E18" s="44" t="n">
        <v>0</v>
      </c>
      <c r="F18" s="44" t="n">
        <v>0</v>
      </c>
      <c r="G18" s="45">
        <f>MIN(100, (SUM(E18:F18)))</f>
        <v/>
      </c>
      <c r="H18" s="44" t="n">
        <v>0</v>
      </c>
      <c r="I18" s="44" t="n">
        <v>0</v>
      </c>
      <c r="J18" s="45">
        <f>MIN(100,(SUM(H18:I18)))</f>
        <v/>
      </c>
      <c r="K18" s="44" t="n">
        <v>0</v>
      </c>
      <c r="L18" s="44" t="n">
        <v>0</v>
      </c>
      <c r="M18" s="45">
        <f>MIN(100,(SUM(K18:L18)))</f>
        <v/>
      </c>
      <c r="N18" s="44" t="n">
        <v>0</v>
      </c>
      <c r="O18" s="44" t="n">
        <v>0</v>
      </c>
      <c r="P18" s="46">
        <f>MIN(500, (SUM(G18,J18,M18,N18,O18)))</f>
        <v/>
      </c>
      <c r="Q18" s="47">
        <f>P18/500*100</f>
        <v/>
      </c>
      <c r="R18" s="48">
        <f>MIN(50, (ROUNDUP(SUM(Q18)/2,0)))</f>
        <v/>
      </c>
      <c r="S18" s="49" t="n">
        <v>0</v>
      </c>
      <c r="T18" s="48">
        <f>MIN(50, (ROUNDUP(SUM(S18)/2,0)))</f>
        <v/>
      </c>
      <c r="U18" s="50">
        <f>MIN(100, (SUM(R18,T18)))</f>
        <v/>
      </c>
      <c r="V18" s="51">
        <f>(U18/100)</f>
        <v/>
      </c>
      <c r="W18" s="52">
        <f>IF(U18&gt;=80,"4.0",IF(U18&gt;=70,"3.5",IF(U18&gt;=65,"3.0",IF(U18&gt;=60,"2.5",IF(U18&gt;=55,"2.0",IF(U18&gt;=50,"1.5",IF(U18&gt;=45,"1.0",IF(U18&gt;=40,"0.5",IF(U18&lt;40,"0.0")))))))))</f>
        <v/>
      </c>
      <c r="X18" s="53">
        <f>IF(U18&gt;=80,"A1",IF(U18&gt;=70,"B2",IF(U18&gt;=65,"B3",IF(U18&gt;=60,"C4",IF(U18&gt;=55,"C5",IF(U18&gt;=50,"C6",IF(U18&gt;=45,"D7",IF(U18&gt;=40,"E8",IF(U18&lt;40,"F9")))))))))</f>
        <v/>
      </c>
      <c r="Z18" s="56" t="inlineStr">
        <is>
          <t xml:space="preserve">     You can also enter an "E" for excused.</t>
        </is>
      </c>
    </row>
    <row r="19">
      <c r="A19" s="41" t="n">
        <v>10</v>
      </c>
      <c r="B19" s="54" t="n"/>
      <c r="C19" s="55" t="n"/>
      <c r="D19" s="54" t="n"/>
      <c r="E19" s="44" t="n">
        <v>0</v>
      </c>
      <c r="F19" s="44" t="n">
        <v>0</v>
      </c>
      <c r="G19" s="45">
        <f>MIN(100, (SUM(E19:F19)))</f>
        <v/>
      </c>
      <c r="H19" s="44" t="n">
        <v>0</v>
      </c>
      <c r="I19" s="44" t="n">
        <v>0</v>
      </c>
      <c r="J19" s="45">
        <f>MIN(100,(SUM(H19:I19)))</f>
        <v/>
      </c>
      <c r="K19" s="44" t="n">
        <v>0</v>
      </c>
      <c r="L19" s="44" t="n">
        <v>0</v>
      </c>
      <c r="M19" s="45">
        <f>MIN(100,(SUM(K19:L19)))</f>
        <v/>
      </c>
      <c r="N19" s="44" t="n">
        <v>0</v>
      </c>
      <c r="O19" s="44" t="n">
        <v>0</v>
      </c>
      <c r="P19" s="46">
        <f>MIN(500, (SUM(G19,J19,M19,N19,O19)))</f>
        <v/>
      </c>
      <c r="Q19" s="47">
        <f>P19/500*100</f>
        <v/>
      </c>
      <c r="R19" s="48">
        <f>MIN(50, (ROUNDUP(SUM(Q19)/2,0)))</f>
        <v/>
      </c>
      <c r="S19" s="49" t="n">
        <v>0</v>
      </c>
      <c r="T19" s="48">
        <f>MIN(50, (ROUNDUP(SUM(S19)/2,0)))</f>
        <v/>
      </c>
      <c r="U19" s="50">
        <f>MIN(100, (SUM(R19,T19)))</f>
        <v/>
      </c>
      <c r="V19" s="51">
        <f>(U19/100)</f>
        <v/>
      </c>
      <c r="W19" s="52">
        <f>IF(U19&gt;=80,"4.0",IF(U19&gt;=70,"3.5",IF(U19&gt;=65,"3.0",IF(U19&gt;=60,"2.5",IF(U19&gt;=55,"2.0",IF(U19&gt;=50,"1.5",IF(U19&gt;=45,"1.0",IF(U19&gt;=40,"0.5",IF(U19&lt;40,"0.0")))))))))</f>
        <v/>
      </c>
      <c r="X19" s="53">
        <f>IF(U19&gt;=80,"A1",IF(U19&gt;=70,"B2",IF(U19&gt;=65,"B3",IF(U19&gt;=60,"C4",IF(U19&gt;=55,"C5",IF(U19&gt;=50,"C6",IF(U19&gt;=45,"D7",IF(U19&gt;=40,"E8",IF(U19&lt;40,"F9")))))))))</f>
        <v/>
      </c>
      <c r="Z19" s="56" t="inlineStr">
        <is>
          <t>► A failing grade less than 50% is recorded as 50% so that one F and one A</t>
        </is>
      </c>
    </row>
    <row r="20">
      <c r="A20" s="41" t="n">
        <v>11</v>
      </c>
      <c r="B20" s="42" t="n"/>
      <c r="C20" s="55" t="n"/>
      <c r="D20" s="42" t="n"/>
      <c r="E20" s="44" t="n">
        <v>0</v>
      </c>
      <c r="F20" s="44" t="n">
        <v>0</v>
      </c>
      <c r="G20" s="45">
        <f>MIN(100, (SUM(E20:F20)))</f>
        <v/>
      </c>
      <c r="H20" s="44" t="n">
        <v>0</v>
      </c>
      <c r="I20" s="44" t="n">
        <v>0</v>
      </c>
      <c r="J20" s="45">
        <f>MIN(100,(SUM(H20:I20)))</f>
        <v/>
      </c>
      <c r="K20" s="44" t="n">
        <v>0</v>
      </c>
      <c r="L20" s="44" t="n">
        <v>0</v>
      </c>
      <c r="M20" s="45">
        <f>MIN(100,(SUM(K20:L20)))</f>
        <v/>
      </c>
      <c r="N20" s="44" t="n">
        <v>0</v>
      </c>
      <c r="O20" s="44" t="n">
        <v>0</v>
      </c>
      <c r="P20" s="46">
        <f>MIN(500, (SUM(G20,J20,M20,N20,O20)))</f>
        <v/>
      </c>
      <c r="Q20" s="47">
        <f>P20/500*100</f>
        <v/>
      </c>
      <c r="R20" s="48">
        <f>MIN(50, (ROUNDUP(SUM(Q20)/2,0)))</f>
        <v/>
      </c>
      <c r="S20" s="49" t="n">
        <v>0</v>
      </c>
      <c r="T20" s="48">
        <f>MIN(50, (ROUNDUP(SUM(S20)/2,0)))</f>
        <v/>
      </c>
      <c r="U20" s="50">
        <f>MIN(100, (SUM(R20,T20)))</f>
        <v/>
      </c>
      <c r="V20" s="51">
        <f>(U20/100)</f>
        <v/>
      </c>
      <c r="W20" s="52">
        <f>IF(U20&gt;=80,"4.0",IF(U20&gt;=70,"3.5",IF(U20&gt;=65,"3.0",IF(U20&gt;=60,"2.5",IF(U20&gt;=55,"2.0",IF(U20&gt;=50,"1.5",IF(U20&gt;=45,"1.0",IF(U20&gt;=40,"0.5",IF(U20&lt;40,"0.0")))))))))</f>
        <v/>
      </c>
      <c r="X20" s="53">
        <f>IF(U20&gt;=80,"A1",IF(U20&gt;=70,"B2",IF(U20&gt;=65,"B3",IF(U20&gt;=60,"C4",IF(U20&gt;=55,"C5",IF(U20&gt;=50,"C6",IF(U20&gt;=45,"D7",IF(U20&gt;=40,"E8",IF(U20&lt;40,"F9")))))))))</f>
        <v/>
      </c>
      <c r="Z20" s="56" t="inlineStr">
        <is>
          <t xml:space="preserve">     averages to a C instead of averaging to an F.</t>
        </is>
      </c>
    </row>
    <row r="21">
      <c r="A21" s="41" t="n">
        <v>12</v>
      </c>
      <c r="B21" s="54" t="n"/>
      <c r="C21" s="55" t="n"/>
      <c r="D21" s="54" t="n"/>
      <c r="E21" s="44" t="n">
        <v>0</v>
      </c>
      <c r="F21" s="44" t="n">
        <v>0</v>
      </c>
      <c r="G21" s="45">
        <f>MIN(100, (SUM(E21:F21)))</f>
        <v/>
      </c>
      <c r="H21" s="44" t="n">
        <v>0</v>
      </c>
      <c r="I21" s="44" t="n">
        <v>0</v>
      </c>
      <c r="J21" s="45">
        <f>MIN(100,(SUM(H21:I21)))</f>
        <v/>
      </c>
      <c r="K21" s="44" t="n">
        <v>0</v>
      </c>
      <c r="L21" s="44" t="n">
        <v>0</v>
      </c>
      <c r="M21" s="45">
        <f>MIN(100,(SUM(K21:L21)))</f>
        <v/>
      </c>
      <c r="N21" s="44" t="n">
        <v>0</v>
      </c>
      <c r="O21" s="44" t="n">
        <v>0</v>
      </c>
      <c r="P21" s="46">
        <f>MIN(500, (SUM(G21,J21,M21,N21,O21)))</f>
        <v/>
      </c>
      <c r="Q21" s="47">
        <f>P21/500*100</f>
        <v/>
      </c>
      <c r="R21" s="48">
        <f>MIN(50, (ROUNDUP(SUM(Q21)/2,0)))</f>
        <v/>
      </c>
      <c r="S21" s="49" t="n">
        <v>0</v>
      </c>
      <c r="T21" s="48">
        <f>MIN(50, (ROUNDUP(SUM(S21)/2,0)))</f>
        <v/>
      </c>
      <c r="U21" s="50">
        <f>MIN(100, (SUM(R21,T21)))</f>
        <v/>
      </c>
      <c r="V21" s="51">
        <f>(U21/100)</f>
        <v/>
      </c>
      <c r="W21" s="52">
        <f>IF(U21&gt;=80,"4.0",IF(U21&gt;=70,"3.5",IF(U21&gt;=65,"3.0",IF(U21&gt;=60,"2.5",IF(U21&gt;=55,"2.0",IF(U21&gt;=50,"1.5",IF(U21&gt;=45,"1.0",IF(U21&gt;=40,"0.5",IF(U21&lt;40,"0.0")))))))))</f>
        <v/>
      </c>
      <c r="X21" s="53">
        <f>IF(U21&gt;=80,"A1",IF(U21&gt;=70,"B2",IF(U21&gt;=65,"B3",IF(U21&gt;=60,"C4",IF(U21&gt;=55,"C5",IF(U21&gt;=50,"C6",IF(U21&gt;=45,"D7",IF(U21&gt;=40,"E8",IF(U21&lt;40,"F9")))))))))</f>
        <v/>
      </c>
      <c r="Z21" s="56" t="n"/>
    </row>
    <row r="22">
      <c r="A22" s="41" t="n">
        <v>13</v>
      </c>
      <c r="B22" s="42" t="n"/>
      <c r="C22" s="55" t="n"/>
      <c r="D22" s="42" t="n"/>
      <c r="E22" s="44" t="n">
        <v>0</v>
      </c>
      <c r="F22" s="44" t="n">
        <v>0</v>
      </c>
      <c r="G22" s="45">
        <f>MIN(100, (SUM(E22:F22)))</f>
        <v/>
      </c>
      <c r="H22" s="44" t="n">
        <v>0</v>
      </c>
      <c r="I22" s="44" t="n">
        <v>0</v>
      </c>
      <c r="J22" s="45">
        <f>MIN(100,(SUM(H22:I22)))</f>
        <v/>
      </c>
      <c r="K22" s="44" t="n">
        <v>0</v>
      </c>
      <c r="L22" s="44" t="n">
        <v>0</v>
      </c>
      <c r="M22" s="45">
        <f>MIN(100,(SUM(K22:L22)))</f>
        <v/>
      </c>
      <c r="N22" s="44" t="n">
        <v>0</v>
      </c>
      <c r="O22" s="44" t="n">
        <v>0</v>
      </c>
      <c r="P22" s="46">
        <f>MIN(500, (SUM(G22,J22,M22,N22,O22)))</f>
        <v/>
      </c>
      <c r="Q22" s="47">
        <f>P22/500*100</f>
        <v/>
      </c>
      <c r="R22" s="48">
        <f>MIN(50, (ROUNDUP(SUM(Q22)/2,0)))</f>
        <v/>
      </c>
      <c r="S22" s="49" t="n">
        <v>0</v>
      </c>
      <c r="T22" s="48">
        <f>MIN(50, (ROUNDUP(SUM(S22)/2,0)))</f>
        <v/>
      </c>
      <c r="U22" s="50">
        <f>MIN(100, (SUM(R22,T22)))</f>
        <v/>
      </c>
      <c r="V22" s="51">
        <f>(U22/100)</f>
        <v/>
      </c>
      <c r="W22" s="52">
        <f>IF(U22&gt;=80,"4.0",IF(U22&gt;=70,"3.5",IF(U22&gt;=65,"3.0",IF(U22&gt;=60,"2.5",IF(U22&gt;=55,"2.0",IF(U22&gt;=50,"1.5",IF(U22&gt;=45,"1.0",IF(U22&gt;=40,"0.5",IF(U22&lt;40,"0.0")))))))))</f>
        <v/>
      </c>
      <c r="X22" s="53">
        <f>IF(U22&gt;=80,"A1",IF(U22&gt;=70,"B2",IF(U22&gt;=65,"B3",IF(U22&gt;=60,"C4",IF(U22&gt;=55,"C5",IF(U22&gt;=50,"C6",IF(U22&gt;=45,"D7",IF(U22&gt;=40,"E8",IF(U22&lt;40,"F9")))))))))</f>
        <v/>
      </c>
      <c r="Z22" s="57" t="inlineStr">
        <is>
          <t>Display IDs ?</t>
        </is>
      </c>
      <c r="AA22" s="58" t="inlineStr">
        <is>
          <t>No</t>
        </is>
      </c>
    </row>
    <row r="23">
      <c r="A23" s="41" t="n">
        <v>14</v>
      </c>
      <c r="B23" s="54" t="n"/>
      <c r="C23" s="55" t="n"/>
      <c r="D23" s="54" t="n"/>
      <c r="E23" s="44" t="n">
        <v>0</v>
      </c>
      <c r="F23" s="44" t="n">
        <v>0</v>
      </c>
      <c r="G23" s="45">
        <f>MIN(100, (SUM(E23:F23)))</f>
        <v/>
      </c>
      <c r="H23" s="44" t="n">
        <v>0</v>
      </c>
      <c r="I23" s="44" t="n">
        <v>0</v>
      </c>
      <c r="J23" s="45">
        <f>MIN(100,(SUM(H23:I23)))</f>
        <v/>
      </c>
      <c r="K23" s="44" t="n">
        <v>0</v>
      </c>
      <c r="L23" s="44" t="n">
        <v>0</v>
      </c>
      <c r="M23" s="45">
        <f>MIN(100,(SUM(K23:L23)))</f>
        <v/>
      </c>
      <c r="N23" s="44" t="n">
        <v>0</v>
      </c>
      <c r="O23" s="44" t="n">
        <v>0</v>
      </c>
      <c r="P23" s="46">
        <f>MIN(500, (SUM(G23,J23,M23,N23,O23)))</f>
        <v/>
      </c>
      <c r="Q23" s="47">
        <f>P23/500*100</f>
        <v/>
      </c>
      <c r="R23" s="48">
        <f>MIN(50, (ROUNDUP(SUM(Q23)/2,0)))</f>
        <v/>
      </c>
      <c r="S23" s="49" t="n">
        <v>0</v>
      </c>
      <c r="T23" s="48">
        <f>MIN(50, (ROUNDUP(SUM(S23)/2,0)))</f>
        <v/>
      </c>
      <c r="U23" s="50">
        <f>MIN(100, (SUM(R23,T23)))</f>
        <v/>
      </c>
      <c r="V23" s="51">
        <f>(U23/100)</f>
        <v/>
      </c>
      <c r="W23" s="52">
        <f>IF(U23&gt;=80,"4.0",IF(U23&gt;=70,"3.5",IF(U23&gt;=65,"3.0",IF(U23&gt;=60,"2.5",IF(U23&gt;=55,"2.0",IF(U23&gt;=50,"1.5",IF(U23&gt;=45,"1.0",IF(U23&gt;=40,"0.5",IF(U23&lt;40,"0.0")))))))))</f>
        <v/>
      </c>
      <c r="X23" s="53">
        <f>IF(U23&gt;=80,"A1",IF(U23&gt;=70,"B2",IF(U23&gt;=65,"B3",IF(U23&gt;=60,"C4",IF(U23&gt;=55,"C5",IF(U23&gt;=50,"C6",IF(U23&gt;=45,"D7",IF(U23&gt;=40,"E8",IF(U23&lt;40,"F9")))))))))</f>
        <v/>
      </c>
    </row>
    <row r="24">
      <c r="A24" s="41" t="n">
        <v>15</v>
      </c>
      <c r="B24" s="42" t="n"/>
      <c r="C24" s="55" t="n"/>
      <c r="D24" s="42" t="n"/>
      <c r="E24" s="44" t="n">
        <v>0</v>
      </c>
      <c r="F24" s="44" t="n">
        <v>0</v>
      </c>
      <c r="G24" s="45">
        <f>MIN(100, (SUM(E24:F24)))</f>
        <v/>
      </c>
      <c r="H24" s="44" t="n">
        <v>0</v>
      </c>
      <c r="I24" s="44" t="n">
        <v>0</v>
      </c>
      <c r="J24" s="45">
        <f>MIN(100,(SUM(H24:I24)))</f>
        <v/>
      </c>
      <c r="K24" s="44" t="n">
        <v>0</v>
      </c>
      <c r="L24" s="44" t="n">
        <v>0</v>
      </c>
      <c r="M24" s="45">
        <f>MIN(100,(SUM(K24:L24)))</f>
        <v/>
      </c>
      <c r="N24" s="44" t="n">
        <v>0</v>
      </c>
      <c r="O24" s="44" t="n">
        <v>0</v>
      </c>
      <c r="P24" s="46">
        <f>MIN(500, (SUM(G24,J24,M24,N24,O24)))</f>
        <v/>
      </c>
      <c r="Q24" s="47">
        <f>P24/500*100</f>
        <v/>
      </c>
      <c r="R24" s="48">
        <f>MIN(50, (ROUNDUP(SUM(Q24)/2,0)))</f>
        <v/>
      </c>
      <c r="S24" s="49" t="n">
        <v>0</v>
      </c>
      <c r="T24" s="48">
        <f>MIN(50, (ROUNDUP(SUM(S24)/2,0)))</f>
        <v/>
      </c>
      <c r="U24" s="50">
        <f>MIN(100, (SUM(R24,T24)))</f>
        <v/>
      </c>
      <c r="V24" s="51">
        <f>(U24/100)</f>
        <v/>
      </c>
      <c r="W24" s="52">
        <f>IF(U24&gt;=80,"4.0",IF(U24&gt;=70,"3.5",IF(U24&gt;=65,"3.0",IF(U24&gt;=60,"2.5",IF(U24&gt;=55,"2.0",IF(U24&gt;=50,"1.5",IF(U24&gt;=45,"1.0",IF(U24&gt;=40,"0.5",IF(U24&lt;40,"0.0")))))))))</f>
        <v/>
      </c>
      <c r="X24" s="53">
        <f>IF(U24&gt;=80,"A1",IF(U24&gt;=70,"B2",IF(U24&gt;=65,"B3",IF(U24&gt;=60,"C4",IF(U24&gt;=55,"C5",IF(U24&gt;=50,"C6",IF(U24&gt;=45,"D7",IF(U24&gt;=40,"E8",IF(U24&lt;40,"F9")))))))))</f>
        <v/>
      </c>
      <c r="Z24" s="59" t="inlineStr">
        <is>
          <t>DisplayID</t>
        </is>
      </c>
      <c r="AA24" s="60" t="b">
        <v>0</v>
      </c>
    </row>
    <row r="25">
      <c r="A25" s="41" t="n">
        <v>16</v>
      </c>
      <c r="B25" s="54" t="n"/>
      <c r="C25" s="55" t="n"/>
      <c r="D25" s="54" t="n"/>
      <c r="E25" s="44" t="n">
        <v>0</v>
      </c>
      <c r="F25" s="44" t="n">
        <v>0</v>
      </c>
      <c r="G25" s="45">
        <f>MIN(100, (SUM(E25:F25)))</f>
        <v/>
      </c>
      <c r="H25" s="44" t="n">
        <v>0</v>
      </c>
      <c r="I25" s="44" t="n">
        <v>0</v>
      </c>
      <c r="J25" s="45">
        <f>MIN(100,(SUM(H25:I25)))</f>
        <v/>
      </c>
      <c r="K25" s="44" t="n">
        <v>0</v>
      </c>
      <c r="L25" s="44" t="n">
        <v>0</v>
      </c>
      <c r="M25" s="45">
        <f>MIN(100,(SUM(K25:L25)))</f>
        <v/>
      </c>
      <c r="N25" s="44" t="n">
        <v>0</v>
      </c>
      <c r="O25" s="44" t="n">
        <v>0</v>
      </c>
      <c r="P25" s="46">
        <f>MIN(500, (SUM(G25,J25,M25,N25,O25)))</f>
        <v/>
      </c>
      <c r="Q25" s="47">
        <f>P25/500*100</f>
        <v/>
      </c>
      <c r="R25" s="48">
        <f>MIN(50, (ROUNDUP(SUM(Q25)/2,0)))</f>
        <v/>
      </c>
      <c r="S25" s="49" t="n">
        <v>0</v>
      </c>
      <c r="T25" s="48">
        <f>MIN(50, (ROUNDUP(SUM(S25)/2,0)))</f>
        <v/>
      </c>
      <c r="U25" s="50">
        <f>MIN(100, (SUM(R25,T25)))</f>
        <v/>
      </c>
      <c r="V25" s="51">
        <f>(U25/100)</f>
        <v/>
      </c>
      <c r="W25" s="52">
        <f>IF(U25&gt;=80,"4.0",IF(U25&gt;=70,"3.5",IF(U25&gt;=65,"3.0",IF(U25&gt;=60,"2.5",IF(U25&gt;=55,"2.0",IF(U25&gt;=50,"1.5",IF(U25&gt;=45,"1.0",IF(U25&gt;=40,"0.5",IF(U25&lt;40,"0.0")))))))))</f>
        <v/>
      </c>
      <c r="X25" s="53">
        <f>IF(U25&gt;=80,"A1",IF(U25&gt;=70,"B2",IF(U25&gt;=65,"B3",IF(U25&gt;=60,"C4",IF(U25&gt;=55,"C5",IF(U25&gt;=50,"C6",IF(U25&gt;=45,"D7",IF(U25&gt;=40,"E8",IF(U25&lt;40,"F9")))))))))</f>
        <v/>
      </c>
    </row>
    <row r="26">
      <c r="A26" s="41" t="n">
        <v>17</v>
      </c>
      <c r="B26" s="42" t="n"/>
      <c r="C26" s="55" t="n"/>
      <c r="D26" s="42" t="n"/>
      <c r="E26" s="44" t="n">
        <v>0</v>
      </c>
      <c r="F26" s="44" t="n">
        <v>0</v>
      </c>
      <c r="G26" s="45">
        <f>MIN(100, (SUM(E26:F26)))</f>
        <v/>
      </c>
      <c r="H26" s="44" t="n">
        <v>0</v>
      </c>
      <c r="I26" s="44" t="n">
        <v>0</v>
      </c>
      <c r="J26" s="45">
        <f>MIN(100,(SUM(H26:I26)))</f>
        <v/>
      </c>
      <c r="K26" s="44" t="n">
        <v>0</v>
      </c>
      <c r="L26" s="44" t="n">
        <v>0</v>
      </c>
      <c r="M26" s="45">
        <f>MIN(100,(SUM(K26:L26)))</f>
        <v/>
      </c>
      <c r="N26" s="44" t="n">
        <v>0</v>
      </c>
      <c r="O26" s="44" t="n">
        <v>0</v>
      </c>
      <c r="P26" s="46">
        <f>MIN(500, (SUM(G26,J26,M26,N26,O26)))</f>
        <v/>
      </c>
      <c r="Q26" s="47">
        <f>P26/500*100</f>
        <v/>
      </c>
      <c r="R26" s="48">
        <f>MIN(50, (ROUNDUP(SUM(Q26)/2,0)))</f>
        <v/>
      </c>
      <c r="S26" s="49" t="n">
        <v>0</v>
      </c>
      <c r="T26" s="48">
        <f>MIN(50, (ROUNDUP(SUM(S26)/2,0)))</f>
        <v/>
      </c>
      <c r="U26" s="50">
        <f>MIN(100, (SUM(R26,T26)))</f>
        <v/>
      </c>
      <c r="V26" s="51">
        <f>(U26/100)</f>
        <v/>
      </c>
      <c r="W26" s="52">
        <f>IF(U26&gt;=80,"4.0",IF(U26&gt;=70,"3.5",IF(U26&gt;=65,"3.0",IF(U26&gt;=60,"2.5",IF(U26&gt;=55,"2.0",IF(U26&gt;=50,"1.5",IF(U26&gt;=45,"1.0",IF(U26&gt;=40,"0.5",IF(U26&lt;40,"0.0")))))))))</f>
        <v/>
      </c>
      <c r="X26" s="53">
        <f>IF(U26&gt;=80,"A1",IF(U26&gt;=70,"B2",IF(U26&gt;=65,"B3",IF(U26&gt;=60,"C4",IF(U26&gt;=55,"C5",IF(U26&gt;=50,"C6",IF(U26&gt;=45,"D7",IF(U26&gt;=40,"E8",IF(U26&lt;40,"F9")))))))))</f>
        <v/>
      </c>
    </row>
    <row r="27">
      <c r="A27" s="41" t="n">
        <v>18</v>
      </c>
      <c r="B27" s="54" t="n"/>
      <c r="C27" s="55" t="n"/>
      <c r="D27" s="54" t="n"/>
      <c r="E27" s="44" t="n">
        <v>0</v>
      </c>
      <c r="F27" s="44" t="n">
        <v>0</v>
      </c>
      <c r="G27" s="45">
        <f>MIN(100, (SUM(E27:F27)))</f>
        <v/>
      </c>
      <c r="H27" s="44" t="n">
        <v>0</v>
      </c>
      <c r="I27" s="44" t="n">
        <v>0</v>
      </c>
      <c r="J27" s="45">
        <f>MIN(100,(SUM(H27:I27)))</f>
        <v/>
      </c>
      <c r="K27" s="44" t="n">
        <v>0</v>
      </c>
      <c r="L27" s="44" t="n">
        <v>0</v>
      </c>
      <c r="M27" s="45">
        <f>MIN(100,(SUM(K27:L27)))</f>
        <v/>
      </c>
      <c r="N27" s="44" t="n">
        <v>0</v>
      </c>
      <c r="O27" s="44" t="n">
        <v>0</v>
      </c>
      <c r="P27" s="46">
        <f>MIN(500, (SUM(G27,J27,M27,N27,O27)))</f>
        <v/>
      </c>
      <c r="Q27" s="47">
        <f>P27/500*100</f>
        <v/>
      </c>
      <c r="R27" s="48">
        <f>MIN(50, (ROUNDUP(SUM(Q27)/2,0)))</f>
        <v/>
      </c>
      <c r="S27" s="49" t="n">
        <v>0</v>
      </c>
      <c r="T27" s="48">
        <f>MIN(50, (ROUNDUP(SUM(S27)/2,0)))</f>
        <v/>
      </c>
      <c r="U27" s="50">
        <f>MIN(100, (SUM(R27,T27)))</f>
        <v/>
      </c>
      <c r="V27" s="51">
        <f>(U27/100)</f>
        <v/>
      </c>
      <c r="W27" s="52">
        <f>IF(U27&gt;=80,"4.0",IF(U27&gt;=70,"3.5",IF(U27&gt;=65,"3.0",IF(U27&gt;=60,"2.5",IF(U27&gt;=55,"2.0",IF(U27&gt;=50,"1.5",IF(U27&gt;=45,"1.0",IF(U27&gt;=40,"0.5",IF(U27&lt;40,"0.0")))))))))</f>
        <v/>
      </c>
      <c r="X27" s="53">
        <f>IF(U27&gt;=80,"A1",IF(U27&gt;=70,"B2",IF(U27&gt;=65,"B3",IF(U27&gt;=60,"C4",IF(U27&gt;=55,"C5",IF(U27&gt;=50,"C6",IF(U27&gt;=45,"D7",IF(U27&gt;=40,"E8",IF(U27&lt;40,"F9")))))))))</f>
        <v/>
      </c>
      <c r="Z27" s="61" t="inlineStr">
        <is>
          <t>Grade</t>
        </is>
      </c>
      <c r="AA27" s="61" t="inlineStr">
        <is>
          <t>Percent</t>
        </is>
      </c>
      <c r="AB27" s="62" t="inlineStr">
        <is>
          <t>Performance</t>
        </is>
      </c>
      <c r="AC27" s="61" t="inlineStr">
        <is>
          <t>GPA</t>
        </is>
      </c>
    </row>
    <row r="28">
      <c r="A28" s="41" t="n">
        <v>19</v>
      </c>
      <c r="B28" s="42" t="n"/>
      <c r="C28" s="55" t="n"/>
      <c r="D28" s="42" t="n"/>
      <c r="E28" s="44" t="n">
        <v>0</v>
      </c>
      <c r="F28" s="44" t="n">
        <v>0</v>
      </c>
      <c r="G28" s="45">
        <f>MIN(100, (SUM(E28:F28)))</f>
        <v/>
      </c>
      <c r="H28" s="44" t="n">
        <v>0</v>
      </c>
      <c r="I28" s="44" t="n">
        <v>0</v>
      </c>
      <c r="J28" s="45">
        <f>MIN(100,(SUM(H28:I28)))</f>
        <v/>
      </c>
      <c r="K28" s="44" t="n">
        <v>0</v>
      </c>
      <c r="L28" s="44" t="n">
        <v>0</v>
      </c>
      <c r="M28" s="45">
        <f>MIN(100,(SUM(K28:L28)))</f>
        <v/>
      </c>
      <c r="N28" s="44" t="n">
        <v>0</v>
      </c>
      <c r="O28" s="44" t="n">
        <v>0</v>
      </c>
      <c r="P28" s="46">
        <f>MIN(500, (SUM(G28,J28,M28,N28,O28)))</f>
        <v/>
      </c>
      <c r="Q28" s="47">
        <f>P28/500*100</f>
        <v/>
      </c>
      <c r="R28" s="48">
        <f>MIN(50, (ROUNDUP(SUM(Q28)/2,0)))</f>
        <v/>
      </c>
      <c r="S28" s="49" t="n">
        <v>0</v>
      </c>
      <c r="T28" s="48">
        <f>MIN(50, (ROUNDUP(SUM(S28)/2,0)))</f>
        <v/>
      </c>
      <c r="U28" s="50">
        <f>MIN(100, (SUM(R28,T28)))</f>
        <v/>
      </c>
      <c r="V28" s="51">
        <f>(U28/100)</f>
        <v/>
      </c>
      <c r="W28" s="52">
        <f>IF(U28&gt;=80,"4.0",IF(U28&gt;=70,"3.5",IF(U28&gt;=65,"3.0",IF(U28&gt;=60,"2.5",IF(U28&gt;=55,"2.0",IF(U28&gt;=50,"1.5",IF(U28&gt;=45,"1.0",IF(U28&gt;=40,"0.5",IF(U28&lt;40,"0.0")))))))))</f>
        <v/>
      </c>
      <c r="X28" s="53">
        <f>IF(U28&gt;=80,"A1",IF(U28&gt;=70,"B2",IF(U28&gt;=65,"B3",IF(U28&gt;=60,"C4",IF(U28&gt;=55,"C5",IF(U28&gt;=50,"C6",IF(U28&gt;=45,"D7",IF(U28&gt;=40,"E8",IF(U28&lt;40,"F9")))))))))</f>
        <v/>
      </c>
      <c r="Z28" s="63" t="inlineStr">
        <is>
          <t>A1</t>
        </is>
      </c>
      <c r="AA28" s="64" t="inlineStr">
        <is>
          <t>100 - 80%</t>
        </is>
      </c>
      <c r="AB28" s="65" t="inlineStr">
        <is>
          <t>Excellent</t>
        </is>
      </c>
      <c r="AC28" s="66" t="n">
        <v>4</v>
      </c>
    </row>
    <row r="29">
      <c r="A29" s="41" t="n">
        <v>20</v>
      </c>
      <c r="B29" s="54" t="n"/>
      <c r="C29" s="55" t="n"/>
      <c r="D29" s="54" t="n"/>
      <c r="E29" s="44" t="n">
        <v>0</v>
      </c>
      <c r="F29" s="44" t="n">
        <v>0</v>
      </c>
      <c r="G29" s="45">
        <f>MIN(100, (SUM(E29:F29)))</f>
        <v/>
      </c>
      <c r="H29" s="44" t="n">
        <v>0</v>
      </c>
      <c r="I29" s="44" t="n">
        <v>0</v>
      </c>
      <c r="J29" s="45">
        <f>MIN(100,(SUM(H29:I29)))</f>
        <v/>
      </c>
      <c r="K29" s="44" t="n">
        <v>0</v>
      </c>
      <c r="L29" s="44" t="n">
        <v>0</v>
      </c>
      <c r="M29" s="45">
        <f>MIN(100,(SUM(K29:L29)))</f>
        <v/>
      </c>
      <c r="N29" s="44" t="n">
        <v>0</v>
      </c>
      <c r="O29" s="44" t="n">
        <v>0</v>
      </c>
      <c r="P29" s="46">
        <f>MIN(500, (SUM(G29,J29,M29,N29,O29)))</f>
        <v/>
      </c>
      <c r="Q29" s="47">
        <f>P29/500*100</f>
        <v/>
      </c>
      <c r="R29" s="48">
        <f>MIN(50, (ROUNDUP(SUM(Q29)/2,0)))</f>
        <v/>
      </c>
      <c r="S29" s="49" t="n">
        <v>0</v>
      </c>
      <c r="T29" s="48">
        <f>MIN(50, (ROUNDUP(SUM(S29)/2,0)))</f>
        <v/>
      </c>
      <c r="U29" s="50">
        <f>MIN(100, (SUM(R29,T29)))</f>
        <v/>
      </c>
      <c r="V29" s="51">
        <f>(U29/100)</f>
        <v/>
      </c>
      <c r="W29" s="52">
        <f>IF(U29&gt;=80,"4.0",IF(U29&gt;=70,"3.5",IF(U29&gt;=65,"3.0",IF(U29&gt;=60,"2.5",IF(U29&gt;=55,"2.0",IF(U29&gt;=50,"1.5",IF(U29&gt;=45,"1.0",IF(U29&gt;=40,"0.5",IF(U29&lt;40,"0.0")))))))))</f>
        <v/>
      </c>
      <c r="X29" s="53">
        <f>IF(U29&gt;=80,"A1",IF(U29&gt;=70,"B2",IF(U29&gt;=65,"B3",IF(U29&gt;=60,"C4",IF(U29&gt;=55,"C5",IF(U29&gt;=50,"C6",IF(U29&gt;=45,"D7",IF(U29&gt;=40,"E8",IF(U29&lt;40,"F9")))))))))</f>
        <v/>
      </c>
      <c r="Z29" s="63" t="inlineStr">
        <is>
          <t>B2</t>
        </is>
      </c>
      <c r="AA29" s="64" t="inlineStr">
        <is>
          <t>79 - 70%</t>
        </is>
      </c>
      <c r="AB29" s="65" t="inlineStr">
        <is>
          <t>Very Good</t>
        </is>
      </c>
      <c r="AC29" s="66" t="n">
        <v>3.5</v>
      </c>
    </row>
    <row r="30">
      <c r="A30" s="41" t="n">
        <v>21</v>
      </c>
      <c r="B30" s="42" t="n"/>
      <c r="C30" s="55" t="n"/>
      <c r="D30" s="42" t="n"/>
      <c r="E30" s="44" t="n">
        <v>0</v>
      </c>
      <c r="F30" s="44" t="n">
        <v>0</v>
      </c>
      <c r="G30" s="45">
        <f>MIN(100, (SUM(E30:F30)))</f>
        <v/>
      </c>
      <c r="H30" s="44" t="n">
        <v>0</v>
      </c>
      <c r="I30" s="44" t="n">
        <v>0</v>
      </c>
      <c r="J30" s="45">
        <f>MIN(100,(SUM(H30:I30)))</f>
        <v/>
      </c>
      <c r="K30" s="44" t="n">
        <v>0</v>
      </c>
      <c r="L30" s="44" t="n">
        <v>0</v>
      </c>
      <c r="M30" s="45">
        <f>MIN(100,(SUM(K30:L30)))</f>
        <v/>
      </c>
      <c r="N30" s="44" t="n">
        <v>0</v>
      </c>
      <c r="O30" s="44" t="n">
        <v>0</v>
      </c>
      <c r="P30" s="46">
        <f>MIN(500, (SUM(G30,J30,M30,N30,O30)))</f>
        <v/>
      </c>
      <c r="Q30" s="47">
        <f>P30/500*100</f>
        <v/>
      </c>
      <c r="R30" s="48">
        <f>MIN(50, (ROUNDUP(SUM(Q30)/2,0)))</f>
        <v/>
      </c>
      <c r="S30" s="49" t="n">
        <v>0</v>
      </c>
      <c r="T30" s="48">
        <f>MIN(50, (ROUNDUP(SUM(S30)/2,0)))</f>
        <v/>
      </c>
      <c r="U30" s="50">
        <f>MIN(100, (SUM(R30,T30)))</f>
        <v/>
      </c>
      <c r="V30" s="51">
        <f>(U30/100)</f>
        <v/>
      </c>
      <c r="W30" s="52">
        <f>IF(U30&gt;=80,"4.0",IF(U30&gt;=70,"3.5",IF(U30&gt;=65,"3.0",IF(U30&gt;=60,"2.5",IF(U30&gt;=55,"2.0",IF(U30&gt;=50,"1.5",IF(U30&gt;=45,"1.0",IF(U30&gt;=40,"0.5",IF(U30&lt;40,"0.0")))))))))</f>
        <v/>
      </c>
      <c r="X30" s="53">
        <f>IF(U30&gt;=80,"A1",IF(U30&gt;=70,"B2",IF(U30&gt;=65,"B3",IF(U30&gt;=60,"C4",IF(U30&gt;=55,"C5",IF(U30&gt;=50,"C6",IF(U30&gt;=45,"D7",IF(U30&gt;=40,"E8",IF(U30&lt;40,"F9")))))))))</f>
        <v/>
      </c>
      <c r="Z30" s="63" t="inlineStr">
        <is>
          <t>B3</t>
        </is>
      </c>
      <c r="AA30" s="64" t="inlineStr">
        <is>
          <t>69 - 65%</t>
        </is>
      </c>
      <c r="AB30" s="65" t="inlineStr">
        <is>
          <t>Good</t>
        </is>
      </c>
      <c r="AC30" s="66" t="n">
        <v>3</v>
      </c>
    </row>
    <row r="31">
      <c r="A31" s="41" t="n">
        <v>22</v>
      </c>
      <c r="B31" s="54" t="n"/>
      <c r="C31" s="55" t="n"/>
      <c r="D31" s="54" t="n"/>
      <c r="E31" s="44" t="n">
        <v>0</v>
      </c>
      <c r="F31" s="44" t="n">
        <v>0</v>
      </c>
      <c r="G31" s="45">
        <f>MIN(100, (SUM(E31:F31)))</f>
        <v/>
      </c>
      <c r="H31" s="44" t="n">
        <v>0</v>
      </c>
      <c r="I31" s="44" t="n">
        <v>0</v>
      </c>
      <c r="J31" s="45">
        <f>MIN(100,(SUM(H31:I31)))</f>
        <v/>
      </c>
      <c r="K31" s="44" t="n">
        <v>0</v>
      </c>
      <c r="L31" s="44" t="n">
        <v>0</v>
      </c>
      <c r="M31" s="45">
        <f>MIN(100,(SUM(K31:L31)))</f>
        <v/>
      </c>
      <c r="N31" s="44" t="n">
        <v>0</v>
      </c>
      <c r="O31" s="44" t="n">
        <v>0</v>
      </c>
      <c r="P31" s="46">
        <f>MIN(500, (SUM(G31,J31,M31,N31,O31)))</f>
        <v/>
      </c>
      <c r="Q31" s="47">
        <f>P31/500*100</f>
        <v/>
      </c>
      <c r="R31" s="48">
        <f>MIN(50, (ROUNDUP(SUM(Q31)/2,0)))</f>
        <v/>
      </c>
      <c r="S31" s="49" t="n">
        <v>0</v>
      </c>
      <c r="T31" s="48">
        <f>MIN(50, (ROUNDUP(SUM(S31)/2,0)))</f>
        <v/>
      </c>
      <c r="U31" s="50">
        <f>MIN(100, (SUM(R31,T31)))</f>
        <v/>
      </c>
      <c r="V31" s="51">
        <f>(U31/100)</f>
        <v/>
      </c>
      <c r="W31" s="52">
        <f>IF(U31&gt;=80,"4.0",IF(U31&gt;=70,"3.5",IF(U31&gt;=65,"3.0",IF(U31&gt;=60,"2.5",IF(U31&gt;=55,"2.0",IF(U31&gt;=50,"1.5",IF(U31&gt;=45,"1.0",IF(U31&gt;=40,"0.5",IF(U31&lt;40,"0.0")))))))))</f>
        <v/>
      </c>
      <c r="X31" s="53">
        <f>IF(U31&gt;=80,"A1",IF(U31&gt;=70,"B2",IF(U31&gt;=65,"B3",IF(U31&gt;=60,"C4",IF(U31&gt;=55,"C5",IF(U31&gt;=50,"C6",IF(U31&gt;=45,"D7",IF(U31&gt;=40,"E8",IF(U31&lt;40,"F9")))))))))</f>
        <v/>
      </c>
      <c r="Z31" s="63" t="inlineStr">
        <is>
          <t>C4</t>
        </is>
      </c>
      <c r="AA31" s="64" t="inlineStr">
        <is>
          <t>64 - 60%</t>
        </is>
      </c>
      <c r="AB31" s="65" t="inlineStr">
        <is>
          <t>Credit</t>
        </is>
      </c>
      <c r="AC31" s="66" t="n">
        <v>2.5</v>
      </c>
    </row>
    <row r="32">
      <c r="A32" s="41" t="n">
        <v>23</v>
      </c>
      <c r="B32" s="42" t="n"/>
      <c r="C32" s="55" t="n"/>
      <c r="D32" s="42" t="n"/>
      <c r="E32" s="44" t="n">
        <v>0</v>
      </c>
      <c r="F32" s="44" t="n">
        <v>0</v>
      </c>
      <c r="G32" s="45">
        <f>MIN(100, (SUM(E32:F32)))</f>
        <v/>
      </c>
      <c r="H32" s="44" t="n">
        <v>0</v>
      </c>
      <c r="I32" s="44" t="n">
        <v>0</v>
      </c>
      <c r="J32" s="45">
        <f>MIN(100,(SUM(H32:I32)))</f>
        <v/>
      </c>
      <c r="K32" s="44" t="n">
        <v>0</v>
      </c>
      <c r="L32" s="44" t="n">
        <v>0</v>
      </c>
      <c r="M32" s="45">
        <f>MIN(100,(SUM(K32:L32)))</f>
        <v/>
      </c>
      <c r="N32" s="44" t="n">
        <v>0</v>
      </c>
      <c r="O32" s="44" t="n">
        <v>0</v>
      </c>
      <c r="P32" s="46">
        <f>MIN(500, (SUM(G32,J32,M32,N32,O32)))</f>
        <v/>
      </c>
      <c r="Q32" s="47">
        <f>P32/500*100</f>
        <v/>
      </c>
      <c r="R32" s="48">
        <f>MIN(50, (ROUNDUP(SUM(Q32)/2,0)))</f>
        <v/>
      </c>
      <c r="S32" s="49" t="n">
        <v>0</v>
      </c>
      <c r="T32" s="48">
        <f>MIN(50, (ROUNDUP(SUM(S32)/2,0)))</f>
        <v/>
      </c>
      <c r="U32" s="50">
        <f>MIN(100, (SUM(R32,T32)))</f>
        <v/>
      </c>
      <c r="V32" s="51">
        <f>(U32/100)</f>
        <v/>
      </c>
      <c r="W32" s="52">
        <f>IF(U32&gt;=80,"4.0",IF(U32&gt;=70,"3.5",IF(U32&gt;=65,"3.0",IF(U32&gt;=60,"2.5",IF(U32&gt;=55,"2.0",IF(U32&gt;=50,"1.5",IF(U32&gt;=45,"1.0",IF(U32&gt;=40,"0.5",IF(U32&lt;40,"0.0")))))))))</f>
        <v/>
      </c>
      <c r="X32" s="53">
        <f>IF(U32&gt;=80,"A1",IF(U32&gt;=70,"B2",IF(U32&gt;=65,"B3",IF(U32&gt;=60,"C4",IF(U32&gt;=55,"C5",IF(U32&gt;=50,"C6",IF(U32&gt;=45,"D7",IF(U32&gt;=40,"E8",IF(U32&lt;40,"F9")))))))))</f>
        <v/>
      </c>
      <c r="Z32" s="63" t="inlineStr">
        <is>
          <t>C5</t>
        </is>
      </c>
      <c r="AA32" s="64" t="inlineStr">
        <is>
          <t>59 - 55%</t>
        </is>
      </c>
      <c r="AB32" s="65" t="inlineStr">
        <is>
          <t>Credit</t>
        </is>
      </c>
      <c r="AC32" s="66" t="n">
        <v>2</v>
      </c>
    </row>
    <row r="33">
      <c r="A33" s="41" t="n">
        <v>24</v>
      </c>
      <c r="B33" s="54" t="n"/>
      <c r="C33" s="55" t="n"/>
      <c r="D33" s="54" t="n"/>
      <c r="E33" s="44" t="n">
        <v>0</v>
      </c>
      <c r="F33" s="44" t="n">
        <v>0</v>
      </c>
      <c r="G33" s="45">
        <f>MIN(100, (SUM(E33:F33)))</f>
        <v/>
      </c>
      <c r="H33" s="44" t="n">
        <v>0</v>
      </c>
      <c r="I33" s="44" t="n">
        <v>0</v>
      </c>
      <c r="J33" s="45">
        <f>MIN(100,(SUM(H33:I33)))</f>
        <v/>
      </c>
      <c r="K33" s="44" t="n">
        <v>0</v>
      </c>
      <c r="L33" s="44" t="n">
        <v>0</v>
      </c>
      <c r="M33" s="45">
        <f>MIN(100,(SUM(K33:L33)))</f>
        <v/>
      </c>
      <c r="N33" s="44" t="n">
        <v>0</v>
      </c>
      <c r="O33" s="44" t="n">
        <v>0</v>
      </c>
      <c r="P33" s="46">
        <f>MIN(500, (SUM(G33,J33,M33,N33,O33)))</f>
        <v/>
      </c>
      <c r="Q33" s="47">
        <f>P33/500*100</f>
        <v/>
      </c>
      <c r="R33" s="48">
        <f>MIN(50, (ROUNDUP(SUM(Q33)/2,0)))</f>
        <v/>
      </c>
      <c r="S33" s="49" t="n">
        <v>0</v>
      </c>
      <c r="T33" s="48">
        <f>MIN(50, (ROUNDUP(SUM(S33)/2,0)))</f>
        <v/>
      </c>
      <c r="U33" s="50">
        <f>MIN(100, (SUM(R33,T33)))</f>
        <v/>
      </c>
      <c r="V33" s="51">
        <f>(U33/100)</f>
        <v/>
      </c>
      <c r="W33" s="52">
        <f>IF(U33&gt;=80,"4.0",IF(U33&gt;=70,"3.5",IF(U33&gt;=65,"3.0",IF(U33&gt;=60,"2.5",IF(U33&gt;=55,"2.0",IF(U33&gt;=50,"1.5",IF(U33&gt;=45,"1.0",IF(U33&gt;=40,"0.5",IF(U33&lt;40,"0.0")))))))))</f>
        <v/>
      </c>
      <c r="X33" s="53">
        <f>IF(U33&gt;=80,"A1",IF(U33&gt;=70,"B2",IF(U33&gt;=65,"B3",IF(U33&gt;=60,"C4",IF(U33&gt;=55,"C5",IF(U33&gt;=50,"C6",IF(U33&gt;=45,"D7",IF(U33&gt;=40,"E8",IF(U33&lt;40,"F9")))))))))</f>
        <v/>
      </c>
      <c r="Z33" s="63" t="inlineStr">
        <is>
          <t>C6</t>
        </is>
      </c>
      <c r="AA33" s="64" t="inlineStr">
        <is>
          <t>54 - 50%</t>
        </is>
      </c>
      <c r="AB33" s="65" t="inlineStr">
        <is>
          <t>Satisfactory</t>
        </is>
      </c>
      <c r="AC33" s="66" t="n">
        <v>1.5</v>
      </c>
    </row>
    <row r="34">
      <c r="A34" s="41" t="n">
        <v>25</v>
      </c>
      <c r="B34" s="42" t="n"/>
      <c r="C34" s="55" t="n"/>
      <c r="D34" s="42" t="n"/>
      <c r="E34" s="44" t="n">
        <v>0</v>
      </c>
      <c r="F34" s="44" t="n">
        <v>0</v>
      </c>
      <c r="G34" s="45">
        <f>MIN(100, (SUM(E34:F34)))</f>
        <v/>
      </c>
      <c r="H34" s="44" t="n">
        <v>0</v>
      </c>
      <c r="I34" s="44" t="n">
        <v>0</v>
      </c>
      <c r="J34" s="45">
        <f>MIN(100,(SUM(H34:I34)))</f>
        <v/>
      </c>
      <c r="K34" s="44" t="n">
        <v>0</v>
      </c>
      <c r="L34" s="44" t="n">
        <v>0</v>
      </c>
      <c r="M34" s="45">
        <f>MIN(100,(SUM(K34:L34)))</f>
        <v/>
      </c>
      <c r="N34" s="44" t="n">
        <v>0</v>
      </c>
      <c r="O34" s="44" t="n">
        <v>0</v>
      </c>
      <c r="P34" s="46">
        <f>MIN(500, (SUM(G34,J34,M34,N34,O34)))</f>
        <v/>
      </c>
      <c r="Q34" s="47">
        <f>P34/500*100</f>
        <v/>
      </c>
      <c r="R34" s="48">
        <f>MIN(50, (ROUNDUP(SUM(Q34)/2,0)))</f>
        <v/>
      </c>
      <c r="S34" s="49" t="n">
        <v>0</v>
      </c>
      <c r="T34" s="48">
        <f>MIN(50, (ROUNDUP(SUM(S34)/2,0)))</f>
        <v/>
      </c>
      <c r="U34" s="50">
        <f>MIN(100, (SUM(R34,T34)))</f>
        <v/>
      </c>
      <c r="V34" s="51">
        <f>(U34/100)</f>
        <v/>
      </c>
      <c r="W34" s="52">
        <f>IF(U34&gt;=80,"4.0",IF(U34&gt;=70,"3.5",IF(U34&gt;=65,"3.0",IF(U34&gt;=60,"2.5",IF(U34&gt;=55,"2.0",IF(U34&gt;=50,"1.5",IF(U34&gt;=45,"1.0",IF(U34&gt;=40,"0.5",IF(U34&lt;40,"0.0")))))))))</f>
        <v/>
      </c>
      <c r="X34" s="53">
        <f>IF(U34&gt;=80,"A1",IF(U34&gt;=70,"B2",IF(U34&gt;=65,"B3",IF(U34&gt;=60,"C4",IF(U34&gt;=55,"C5",IF(U34&gt;=50,"C6",IF(U34&gt;=45,"D7",IF(U34&gt;=40,"E8",IF(U34&lt;40,"F9")))))))))</f>
        <v/>
      </c>
      <c r="Z34" s="63" t="inlineStr">
        <is>
          <t>D7</t>
        </is>
      </c>
      <c r="AA34" s="64" t="inlineStr">
        <is>
          <t>49 - 45%</t>
        </is>
      </c>
      <c r="AB34" s="65" t="inlineStr">
        <is>
          <t>Satisfactory</t>
        </is>
      </c>
      <c r="AC34" s="66" t="n">
        <v>1</v>
      </c>
    </row>
    <row r="35">
      <c r="A35" s="41" t="n">
        <v>26</v>
      </c>
      <c r="B35" s="54" t="n"/>
      <c r="C35" s="55" t="n"/>
      <c r="D35" s="54" t="n"/>
      <c r="E35" s="44" t="n">
        <v>0</v>
      </c>
      <c r="F35" s="44" t="n">
        <v>0</v>
      </c>
      <c r="G35" s="45">
        <f>MIN(100, (SUM(E35:F35)))</f>
        <v/>
      </c>
      <c r="H35" s="44" t="n">
        <v>0</v>
      </c>
      <c r="I35" s="44" t="n">
        <v>0</v>
      </c>
      <c r="J35" s="45">
        <f>MIN(100,(SUM(H35:I35)))</f>
        <v/>
      </c>
      <c r="K35" s="44" t="n">
        <v>0</v>
      </c>
      <c r="L35" s="44" t="n">
        <v>0</v>
      </c>
      <c r="M35" s="45">
        <f>MIN(100,(SUM(K35:L35)))</f>
        <v/>
      </c>
      <c r="N35" s="44" t="n">
        <v>0</v>
      </c>
      <c r="O35" s="44" t="n">
        <v>0</v>
      </c>
      <c r="P35" s="46">
        <f>MIN(500, (SUM(G35,J35,M35,N35,O35)))</f>
        <v/>
      </c>
      <c r="Q35" s="47">
        <f>P35/500*100</f>
        <v/>
      </c>
      <c r="R35" s="48">
        <f>MIN(50, (ROUNDUP(SUM(Q35)/2,0)))</f>
        <v/>
      </c>
      <c r="S35" s="49" t="n">
        <v>0</v>
      </c>
      <c r="T35" s="48">
        <f>MIN(50, (ROUNDUP(SUM(S35)/2,0)))</f>
        <v/>
      </c>
      <c r="U35" s="50">
        <f>MIN(100, (SUM(R35,T35)))</f>
        <v/>
      </c>
      <c r="V35" s="51">
        <f>(U35/100)</f>
        <v/>
      </c>
      <c r="W35" s="52">
        <f>IF(U35&gt;=80,"4.0",IF(U35&gt;=70,"3.5",IF(U35&gt;=65,"3.0",IF(U35&gt;=60,"2.5",IF(U35&gt;=55,"2.0",IF(U35&gt;=50,"1.5",IF(U35&gt;=45,"1.0",IF(U35&gt;=40,"0.5",IF(U35&lt;40,"0.0")))))))))</f>
        <v/>
      </c>
      <c r="X35" s="53">
        <f>IF(U35&gt;=80,"A1",IF(U35&gt;=70,"B2",IF(U35&gt;=65,"B3",IF(U35&gt;=60,"C4",IF(U35&gt;=55,"C5",IF(U35&gt;=50,"C6",IF(U35&gt;=45,"D7",IF(U35&gt;=40,"E8",IF(U35&lt;40,"F9")))))))))</f>
        <v/>
      </c>
      <c r="Z35" s="63" t="inlineStr">
        <is>
          <t>E8</t>
        </is>
      </c>
      <c r="AA35" s="64" t="inlineStr">
        <is>
          <t>44 - 40%</t>
        </is>
      </c>
      <c r="AB35" s="65" t="inlineStr">
        <is>
          <t>Pass</t>
        </is>
      </c>
      <c r="AC35" s="66" t="n">
        <v>0.5</v>
      </c>
    </row>
    <row r="36">
      <c r="A36" s="41" t="n">
        <v>27</v>
      </c>
      <c r="B36" s="42" t="n"/>
      <c r="C36" s="55" t="n"/>
      <c r="D36" s="42" t="n"/>
      <c r="E36" s="44" t="n">
        <v>0</v>
      </c>
      <c r="F36" s="44" t="n">
        <v>0</v>
      </c>
      <c r="G36" s="45">
        <f>MIN(100, (SUM(E36:F36)))</f>
        <v/>
      </c>
      <c r="H36" s="44" t="n">
        <v>0</v>
      </c>
      <c r="I36" s="44" t="n">
        <v>0</v>
      </c>
      <c r="J36" s="45">
        <f>MIN(100,(SUM(H36:I36)))</f>
        <v/>
      </c>
      <c r="K36" s="44" t="n">
        <v>0</v>
      </c>
      <c r="L36" s="44" t="n">
        <v>0</v>
      </c>
      <c r="M36" s="45">
        <f>MIN(100,(SUM(K36:L36)))</f>
        <v/>
      </c>
      <c r="N36" s="44" t="n">
        <v>0</v>
      </c>
      <c r="O36" s="44" t="n">
        <v>0</v>
      </c>
      <c r="P36" s="46">
        <f>MIN(500, (SUM(G36,J36,M36,N36,O36)))</f>
        <v/>
      </c>
      <c r="Q36" s="47">
        <f>P36/500*100</f>
        <v/>
      </c>
      <c r="R36" s="48">
        <f>MIN(50, (ROUNDUP(SUM(Q36)/2,0)))</f>
        <v/>
      </c>
      <c r="S36" s="49" t="n">
        <v>0</v>
      </c>
      <c r="T36" s="48">
        <f>MIN(50, (ROUNDUP(SUM(S36)/2,0)))</f>
        <v/>
      </c>
      <c r="U36" s="50">
        <f>MIN(100, (SUM(R36,T36)))</f>
        <v/>
      </c>
      <c r="V36" s="51">
        <f>(U36/100)</f>
        <v/>
      </c>
      <c r="W36" s="52">
        <f>IF(U36&gt;=80,"4.0",IF(U36&gt;=70,"3.5",IF(U36&gt;=65,"3.0",IF(U36&gt;=60,"2.5",IF(U36&gt;=55,"2.0",IF(U36&gt;=50,"1.5",IF(U36&gt;=45,"1.0",IF(U36&gt;=40,"0.5",IF(U36&lt;40,"0.0")))))))))</f>
        <v/>
      </c>
      <c r="X36" s="53">
        <f>IF(U36&gt;=80,"A1",IF(U36&gt;=70,"B2",IF(U36&gt;=65,"B3",IF(U36&gt;=60,"C4",IF(U36&gt;=55,"C5",IF(U36&gt;=50,"C6",IF(U36&gt;=45,"D7",IF(U36&gt;=40,"E8",IF(U36&lt;40,"F9")))))))))</f>
        <v/>
      </c>
      <c r="Z36" s="63" t="inlineStr">
        <is>
          <t>F9</t>
        </is>
      </c>
      <c r="AA36" s="64" t="inlineStr">
        <is>
          <t>39 - below</t>
        </is>
      </c>
      <c r="AB36" s="65" t="inlineStr">
        <is>
          <t>Fail</t>
        </is>
      </c>
      <c r="AC36" s="66" t="n">
        <v>0</v>
      </c>
    </row>
    <row r="37">
      <c r="A37" s="41" t="n">
        <v>28</v>
      </c>
      <c r="B37" s="54" t="n"/>
      <c r="C37" s="55" t="n"/>
      <c r="D37" s="54" t="n"/>
      <c r="E37" s="44" t="n">
        <v>0</v>
      </c>
      <c r="F37" s="44" t="n">
        <v>0</v>
      </c>
      <c r="G37" s="45">
        <f>MIN(100, (SUM(E37:F37)))</f>
        <v/>
      </c>
      <c r="H37" s="44" t="n">
        <v>0</v>
      </c>
      <c r="I37" s="44" t="n">
        <v>0</v>
      </c>
      <c r="J37" s="45">
        <f>MIN(100,(SUM(H37:I37)))</f>
        <v/>
      </c>
      <c r="K37" s="44" t="n">
        <v>0</v>
      </c>
      <c r="L37" s="44" t="n">
        <v>0</v>
      </c>
      <c r="M37" s="45">
        <f>MIN(100,(SUM(K37:L37)))</f>
        <v/>
      </c>
      <c r="N37" s="44" t="n">
        <v>0</v>
      </c>
      <c r="O37" s="44" t="n">
        <v>0</v>
      </c>
      <c r="P37" s="46">
        <f>MIN(500, (SUM(G37,J37,M37,N37,O37)))</f>
        <v/>
      </c>
      <c r="Q37" s="47">
        <f>P37/500*100</f>
        <v/>
      </c>
      <c r="R37" s="48">
        <f>MIN(50, (ROUNDUP(SUM(Q37)/2,0)))</f>
        <v/>
      </c>
      <c r="S37" s="49" t="n">
        <v>0</v>
      </c>
      <c r="T37" s="48">
        <f>MIN(50, (ROUNDUP(SUM(S37)/2,0)))</f>
        <v/>
      </c>
      <c r="U37" s="50">
        <f>MIN(100, (SUM(R37,T37)))</f>
        <v/>
      </c>
      <c r="V37" s="51">
        <f>(U37/100)</f>
        <v/>
      </c>
      <c r="W37" s="52">
        <f>IF(U37&gt;=80,"4.0",IF(U37&gt;=70,"3.5",IF(U37&gt;=65,"3.0",IF(U37&gt;=60,"2.5",IF(U37&gt;=55,"2.0",IF(U37&gt;=50,"1.5",IF(U37&gt;=45,"1.0",IF(U37&gt;=40,"0.5",IF(U37&lt;40,"0.0")))))))))</f>
        <v/>
      </c>
      <c r="X37" s="53">
        <f>IF(U37&gt;=80,"A1",IF(U37&gt;=70,"B2",IF(U37&gt;=65,"B3",IF(U37&gt;=60,"C4",IF(U37&gt;=55,"C5",IF(U37&gt;=50,"C6",IF(U37&gt;=45,"D7",IF(U37&gt;=40,"E8",IF(U37&lt;40,"F9")))))))))</f>
        <v/>
      </c>
    </row>
    <row r="38" ht="15.75" customHeight="1" thickBot="1">
      <c r="A38" s="41" t="n">
        <v>29</v>
      </c>
      <c r="B38" s="42" t="n"/>
      <c r="C38" s="55" t="n"/>
      <c r="D38" s="42" t="n"/>
      <c r="E38" s="44" t="n">
        <v>0</v>
      </c>
      <c r="F38" s="44" t="n">
        <v>0</v>
      </c>
      <c r="G38" s="45">
        <f>MIN(100, (SUM(E38:F38)))</f>
        <v/>
      </c>
      <c r="H38" s="44" t="n">
        <v>0</v>
      </c>
      <c r="I38" s="44" t="n">
        <v>0</v>
      </c>
      <c r="J38" s="45">
        <f>MIN(100,(SUM(H38:I38)))</f>
        <v/>
      </c>
      <c r="K38" s="44" t="n">
        <v>0</v>
      </c>
      <c r="L38" s="44" t="n">
        <v>0</v>
      </c>
      <c r="M38" s="45">
        <f>MIN(100,(SUM(K38:L38)))</f>
        <v/>
      </c>
      <c r="N38" s="44" t="n">
        <v>0</v>
      </c>
      <c r="O38" s="44" t="n">
        <v>0</v>
      </c>
      <c r="P38" s="46">
        <f>MIN(500, (SUM(G38,J38,M38,N38,O38)))</f>
        <v/>
      </c>
      <c r="Q38" s="47">
        <f>P38/500*100</f>
        <v/>
      </c>
      <c r="R38" s="48">
        <f>MIN(50, (ROUNDUP(SUM(Q38)/2,0)))</f>
        <v/>
      </c>
      <c r="S38" s="49" t="n">
        <v>0</v>
      </c>
      <c r="T38" s="48">
        <f>MIN(50, (ROUNDUP(SUM(S38)/2,0)))</f>
        <v/>
      </c>
      <c r="U38" s="50">
        <f>MIN(100, (SUM(R38,T38)))</f>
        <v/>
      </c>
      <c r="V38" s="51">
        <f>(U38/100)</f>
        <v/>
      </c>
      <c r="W38" s="52">
        <f>IF(U38&gt;=80,"4.0",IF(U38&gt;=70,"3.5",IF(U38&gt;=65,"3.0",IF(U38&gt;=60,"2.5",IF(U38&gt;=55,"2.0",IF(U38&gt;=50,"1.5",IF(U38&gt;=45,"1.0",IF(U38&gt;=40,"0.5",IF(U38&lt;40,"0.0")))))))))</f>
        <v/>
      </c>
      <c r="X38" s="53">
        <f>IF(U38&gt;=80,"A1",IF(U38&gt;=70,"B2",IF(U38&gt;=65,"B3",IF(U38&gt;=60,"C4",IF(U38&gt;=55,"C5",IF(U38&gt;=50,"C6",IF(U38&gt;=45,"D7",IF(U38&gt;=40,"E8",IF(U38&lt;40,"F9")))))))))</f>
        <v/>
      </c>
    </row>
    <row r="39" ht="15.75" customHeight="1" thickBot="1">
      <c r="A39" s="41" t="n">
        <v>30</v>
      </c>
      <c r="B39" s="54" t="n"/>
      <c r="C39" s="55" t="n"/>
      <c r="D39" s="54" t="n"/>
      <c r="E39" s="44" t="n">
        <v>0</v>
      </c>
      <c r="F39" s="44" t="n">
        <v>0</v>
      </c>
      <c r="G39" s="45">
        <f>MIN(100, (SUM(E39:F39)))</f>
        <v/>
      </c>
      <c r="H39" s="44" t="n">
        <v>0</v>
      </c>
      <c r="I39" s="44" t="n">
        <v>0</v>
      </c>
      <c r="J39" s="45">
        <f>MIN(100,(SUM(H39:I39)))</f>
        <v/>
      </c>
      <c r="K39" s="44" t="n">
        <v>0</v>
      </c>
      <c r="L39" s="44" t="n">
        <v>0</v>
      </c>
      <c r="M39" s="45">
        <f>MIN(100,(SUM(K39:L39)))</f>
        <v/>
      </c>
      <c r="N39" s="44" t="n">
        <v>0</v>
      </c>
      <c r="O39" s="44" t="n">
        <v>0</v>
      </c>
      <c r="P39" s="46">
        <f>MIN(500, (SUM(G39,J39,M39,N39,O39)))</f>
        <v/>
      </c>
      <c r="Q39" s="47">
        <f>P39/500*100</f>
        <v/>
      </c>
      <c r="R39" s="48">
        <f>MIN(50, (ROUNDUP(SUM(Q39)/2,0)))</f>
        <v/>
      </c>
      <c r="S39" s="49" t="n">
        <v>0</v>
      </c>
      <c r="T39" s="48">
        <f>MIN(50, (ROUNDUP(SUM(S39)/2,0)))</f>
        <v/>
      </c>
      <c r="U39" s="50">
        <f>MIN(100, (SUM(R39,T39)))</f>
        <v/>
      </c>
      <c r="V39" s="51">
        <f>(U39/100)</f>
        <v/>
      </c>
      <c r="W39" s="52">
        <f>IF(U39&gt;=80,"4.0",IF(U39&gt;=70,"3.5",IF(U39&gt;=65,"3.0",IF(U39&gt;=60,"2.5",IF(U39&gt;=55,"2.0",IF(U39&gt;=50,"1.5",IF(U39&gt;=45,"1.0",IF(U39&gt;=40,"0.5",IF(U39&lt;40,"0.0")))))))))</f>
        <v/>
      </c>
      <c r="X39" s="53">
        <f>IF(U39&gt;=80,"A1",IF(U39&gt;=70,"B2",IF(U39&gt;=65,"B3",IF(U39&gt;=60,"C4",IF(U39&gt;=55,"C5",IF(U39&gt;=50,"C6",IF(U39&gt;=45,"D7",IF(U39&gt;=40,"E8",IF(U39&lt;40,"F9")))))))))</f>
        <v/>
      </c>
      <c r="Z39" s="115" t="inlineStr">
        <is>
          <t>SUMMARY</t>
        </is>
      </c>
      <c r="AA39" s="116" t="n"/>
    </row>
    <row r="40">
      <c r="A40" s="41" t="n">
        <v>31</v>
      </c>
      <c r="B40" s="42" t="n"/>
      <c r="C40" s="55" t="n"/>
      <c r="D40" s="42" t="n"/>
      <c r="E40" s="44" t="n">
        <v>0</v>
      </c>
      <c r="F40" s="44" t="n">
        <v>0</v>
      </c>
      <c r="G40" s="45">
        <f>MIN(100, (SUM(E40:F40)))</f>
        <v/>
      </c>
      <c r="H40" s="44" t="n">
        <v>0</v>
      </c>
      <c r="I40" s="44" t="n">
        <v>0</v>
      </c>
      <c r="J40" s="45">
        <f>MIN(100,(SUM(H40:I40)))</f>
        <v/>
      </c>
      <c r="K40" s="44" t="n">
        <v>0</v>
      </c>
      <c r="L40" s="44" t="n">
        <v>0</v>
      </c>
      <c r="M40" s="45">
        <f>MIN(100,(SUM(K40:L40)))</f>
        <v/>
      </c>
      <c r="N40" s="44" t="n">
        <v>0</v>
      </c>
      <c r="O40" s="44" t="n">
        <v>0</v>
      </c>
      <c r="P40" s="46">
        <f>MIN(500, (SUM(G40,J40,M40,N40,O40)))</f>
        <v/>
      </c>
      <c r="Q40" s="47">
        <f>P40/500*100</f>
        <v/>
      </c>
      <c r="R40" s="48">
        <f>MIN(50, (ROUNDUP(SUM(Q40)/2,0)))</f>
        <v/>
      </c>
      <c r="S40" s="49" t="n">
        <v>0</v>
      </c>
      <c r="T40" s="48">
        <f>MIN(50, (ROUNDUP(SUM(S40)/2,0)))</f>
        <v/>
      </c>
      <c r="U40" s="50">
        <f>MIN(100, (SUM(R40,T40)))</f>
        <v/>
      </c>
      <c r="V40" s="51">
        <f>(U40/100)</f>
        <v/>
      </c>
      <c r="W40" s="52">
        <f>IF(U40&gt;=80,"4.0",IF(U40&gt;=70,"3.5",IF(U40&gt;=65,"3.0",IF(U40&gt;=60,"2.5",IF(U40&gt;=55,"2.0",IF(U40&gt;=50,"1.5",IF(U40&gt;=45,"1.0",IF(U40&gt;=40,"0.5",IF(U40&lt;40,"0.0")))))))))</f>
        <v/>
      </c>
      <c r="X40" s="53">
        <f>IF(U40&gt;=80,"A1",IF(U40&gt;=70,"B2",IF(U40&gt;=65,"B3",IF(U40&gt;=60,"C4",IF(U40&gt;=55,"C5",IF(U40&gt;=50,"C6",IF(U40&gt;=45,"D7",IF(U40&gt;=40,"E8",IF(U40&lt;40,"F9")))))))))</f>
        <v/>
      </c>
      <c r="Z40" s="67" t="inlineStr">
        <is>
          <t>Grade</t>
        </is>
      </c>
      <c r="AA40" s="68" t="inlineStr">
        <is>
          <t>Count</t>
        </is>
      </c>
    </row>
    <row r="41">
      <c r="A41" s="41" t="n">
        <v>32</v>
      </c>
      <c r="B41" s="54" t="n"/>
      <c r="C41" s="55" t="n"/>
      <c r="D41" s="54" t="n"/>
      <c r="E41" s="44" t="n">
        <v>0</v>
      </c>
      <c r="F41" s="44" t="n">
        <v>0</v>
      </c>
      <c r="G41" s="45">
        <f>MIN(100, (SUM(E41:F41)))</f>
        <v/>
      </c>
      <c r="H41" s="44" t="n">
        <v>0</v>
      </c>
      <c r="I41" s="44" t="n">
        <v>0</v>
      </c>
      <c r="J41" s="45">
        <f>MIN(100,(SUM(H41:I41)))</f>
        <v/>
      </c>
      <c r="K41" s="44" t="n">
        <v>0</v>
      </c>
      <c r="L41" s="44" t="n">
        <v>0</v>
      </c>
      <c r="M41" s="45">
        <f>MIN(100,(SUM(K41:L41)))</f>
        <v/>
      </c>
      <c r="N41" s="44" t="n">
        <v>0</v>
      </c>
      <c r="O41" s="44" t="n">
        <v>0</v>
      </c>
      <c r="P41" s="46">
        <f>MIN(500, (SUM(G41,J41,M41,N41,O41)))</f>
        <v/>
      </c>
      <c r="Q41" s="47">
        <f>P41/500*100</f>
        <v/>
      </c>
      <c r="R41" s="48">
        <f>MIN(50, (ROUNDUP(SUM(Q41)/2,0)))</f>
        <v/>
      </c>
      <c r="S41" s="49" t="n">
        <v>0</v>
      </c>
      <c r="T41" s="48">
        <f>MIN(50, (ROUNDUP(SUM(S41)/2,0)))</f>
        <v/>
      </c>
      <c r="U41" s="50">
        <f>MIN(100, (SUM(R41,T41)))</f>
        <v/>
      </c>
      <c r="V41" s="51">
        <f>(U41/100)</f>
        <v/>
      </c>
      <c r="W41" s="52">
        <f>IF(U41&gt;=80,"4.0",IF(U41&gt;=70,"3.5",IF(U41&gt;=65,"3.0",IF(U41&gt;=60,"2.5",IF(U41&gt;=55,"2.0",IF(U41&gt;=50,"1.5",IF(U41&gt;=45,"1.0",IF(U41&gt;=40,"0.5",IF(U41&lt;40,"0.0")))))))))</f>
        <v/>
      </c>
      <c r="X41" s="53">
        <f>IF(U41&gt;=80,"A1",IF(U41&gt;=70,"B2",IF(U41&gt;=65,"B3",IF(U41&gt;=60,"C4",IF(U41&gt;=55,"C5",IF(U41&gt;=50,"C6",IF(U41&gt;=45,"D7",IF(U41&gt;=40,"E8",IF(U41&lt;40,"F9")))))))))</f>
        <v/>
      </c>
      <c r="Z41" s="69" t="inlineStr">
        <is>
          <t>A1</t>
        </is>
      </c>
      <c r="AA41" s="70">
        <f>COUNTIF(X$7:$X86,"a1")</f>
        <v/>
      </c>
    </row>
    <row r="42">
      <c r="A42" s="41" t="n">
        <v>33</v>
      </c>
      <c r="B42" s="42" t="n"/>
      <c r="C42" s="55" t="n"/>
      <c r="D42" s="42" t="n"/>
      <c r="E42" s="44" t="n">
        <v>0</v>
      </c>
      <c r="F42" s="44" t="n">
        <v>0</v>
      </c>
      <c r="G42" s="45">
        <f>MIN(100, (SUM(E42:F42)))</f>
        <v/>
      </c>
      <c r="H42" s="44" t="n">
        <v>0</v>
      </c>
      <c r="I42" s="44" t="n">
        <v>0</v>
      </c>
      <c r="J42" s="45">
        <f>MIN(100,(SUM(H42:I42)))</f>
        <v/>
      </c>
      <c r="K42" s="44" t="n">
        <v>0</v>
      </c>
      <c r="L42" s="44" t="n">
        <v>0</v>
      </c>
      <c r="M42" s="45">
        <f>MIN(100,(SUM(K42:L42)))</f>
        <v/>
      </c>
      <c r="N42" s="44" t="n">
        <v>0</v>
      </c>
      <c r="O42" s="44" t="n">
        <v>0</v>
      </c>
      <c r="P42" s="46">
        <f>MIN(500, (SUM(G42,J42,M42,N42,O42)))</f>
        <v/>
      </c>
      <c r="Q42" s="47">
        <f>P42/500*100</f>
        <v/>
      </c>
      <c r="R42" s="48">
        <f>MIN(50, (ROUNDUP(SUM(Q42)/2,0)))</f>
        <v/>
      </c>
      <c r="S42" s="49" t="n">
        <v>0</v>
      </c>
      <c r="T42" s="48">
        <f>MIN(50, (ROUNDUP(SUM(S42)/2,0)))</f>
        <v/>
      </c>
      <c r="U42" s="50">
        <f>MIN(100, (SUM(R42,T42)))</f>
        <v/>
      </c>
      <c r="V42" s="51">
        <f>(U42/100)</f>
        <v/>
      </c>
      <c r="W42" s="52">
        <f>IF(U42&gt;=80,"4.0",IF(U42&gt;=70,"3.5",IF(U42&gt;=65,"3.0",IF(U42&gt;=60,"2.5",IF(U42&gt;=55,"2.0",IF(U42&gt;=50,"1.5",IF(U42&gt;=45,"1.0",IF(U42&gt;=40,"0.5",IF(U42&lt;40,"0.0")))))))))</f>
        <v/>
      </c>
      <c r="X42" s="53">
        <f>IF(U42&gt;=80,"A1",IF(U42&gt;=70,"B2",IF(U42&gt;=65,"B3",IF(U42&gt;=60,"C4",IF(U42&gt;=55,"C5",IF(U42&gt;=50,"C6",IF(U42&gt;=45,"D7",IF(U42&gt;=40,"E8",IF(U42&lt;40,"F9")))))))))</f>
        <v/>
      </c>
      <c r="Z42" s="69" t="inlineStr">
        <is>
          <t>B2</t>
        </is>
      </c>
      <c r="AA42" s="70">
        <f>COUNTIF(X$7:$X262,"B2")</f>
        <v/>
      </c>
    </row>
    <row r="43">
      <c r="A43" s="41" t="n">
        <v>34</v>
      </c>
      <c r="B43" s="54" t="n"/>
      <c r="C43" s="55" t="n"/>
      <c r="D43" s="54" t="n"/>
      <c r="E43" s="44" t="n">
        <v>0</v>
      </c>
      <c r="F43" s="44" t="n">
        <v>0</v>
      </c>
      <c r="G43" s="45">
        <f>MIN(100, (SUM(E43:F43)))</f>
        <v/>
      </c>
      <c r="H43" s="44" t="n">
        <v>0</v>
      </c>
      <c r="I43" s="44" t="n">
        <v>0</v>
      </c>
      <c r="J43" s="45">
        <f>MIN(100,(SUM(H43:I43)))</f>
        <v/>
      </c>
      <c r="K43" s="44" t="n">
        <v>0</v>
      </c>
      <c r="L43" s="44" t="n">
        <v>0</v>
      </c>
      <c r="M43" s="45">
        <f>MIN(100,(SUM(K43:L43)))</f>
        <v/>
      </c>
      <c r="N43" s="44" t="n">
        <v>0</v>
      </c>
      <c r="O43" s="44" t="n">
        <v>0</v>
      </c>
      <c r="P43" s="46">
        <f>MIN(500, (SUM(G43,J43,M43,N43,O43)))</f>
        <v/>
      </c>
      <c r="Q43" s="47">
        <f>P43/500*100</f>
        <v/>
      </c>
      <c r="R43" s="48">
        <f>MIN(50, (ROUNDUP(SUM(Q43)/2,0)))</f>
        <v/>
      </c>
      <c r="S43" s="49" t="n">
        <v>0</v>
      </c>
      <c r="T43" s="48">
        <f>MIN(50, (ROUNDUP(SUM(S43)/2,0)))</f>
        <v/>
      </c>
      <c r="U43" s="50">
        <f>MIN(100, (SUM(R43,T43)))</f>
        <v/>
      </c>
      <c r="V43" s="51">
        <f>(U43/100)</f>
        <v/>
      </c>
      <c r="W43" s="52">
        <f>IF(U43&gt;=80,"4.0",IF(U43&gt;=70,"3.5",IF(U43&gt;=65,"3.0",IF(U43&gt;=60,"2.5",IF(U43&gt;=55,"2.0",IF(U43&gt;=50,"1.5",IF(U43&gt;=45,"1.0",IF(U43&gt;=40,"0.5",IF(U43&lt;40,"0.0")))))))))</f>
        <v/>
      </c>
      <c r="X43" s="53">
        <f>IF(U43&gt;=80,"A1",IF(U43&gt;=70,"B2",IF(U43&gt;=65,"B3",IF(U43&gt;=60,"C4",IF(U43&gt;=55,"C5",IF(U43&gt;=50,"C6",IF(U43&gt;=45,"D7",IF(U43&gt;=40,"E8",IF(U43&lt;40,"F9")))))))))</f>
        <v/>
      </c>
      <c r="Z43" s="69" t="inlineStr">
        <is>
          <t>B3</t>
        </is>
      </c>
      <c r="AA43" s="70">
        <f>COUNTIF(X$7:$X263,"b3")</f>
        <v/>
      </c>
    </row>
    <row r="44">
      <c r="A44" s="41" t="n">
        <v>35</v>
      </c>
      <c r="B44" s="42" t="n"/>
      <c r="C44" s="55" t="n"/>
      <c r="D44" s="42" t="n"/>
      <c r="E44" s="44" t="n">
        <v>0</v>
      </c>
      <c r="F44" s="44" t="n">
        <v>0</v>
      </c>
      <c r="G44" s="45">
        <f>MIN(100, (SUM(E44:F44)))</f>
        <v/>
      </c>
      <c r="H44" s="44" t="n">
        <v>0</v>
      </c>
      <c r="I44" s="44" t="n">
        <v>0</v>
      </c>
      <c r="J44" s="45">
        <f>MIN(100,(SUM(H44:I44)))</f>
        <v/>
      </c>
      <c r="K44" s="44" t="n">
        <v>0</v>
      </c>
      <c r="L44" s="44" t="n">
        <v>0</v>
      </c>
      <c r="M44" s="45">
        <f>MIN(100,(SUM(K44:L44)))</f>
        <v/>
      </c>
      <c r="N44" s="44" t="n">
        <v>0</v>
      </c>
      <c r="O44" s="44" t="n">
        <v>0</v>
      </c>
      <c r="P44" s="46">
        <f>MIN(500, (SUM(G44,J44,M44,N44,O44)))</f>
        <v/>
      </c>
      <c r="Q44" s="47">
        <f>P44/500*100</f>
        <v/>
      </c>
      <c r="R44" s="48">
        <f>MIN(50, (ROUNDUP(SUM(Q44)/2,0)))</f>
        <v/>
      </c>
      <c r="S44" s="49" t="n">
        <v>0</v>
      </c>
      <c r="T44" s="48">
        <f>MIN(50, (ROUNDUP(SUM(S44)/2,0)))</f>
        <v/>
      </c>
      <c r="U44" s="50">
        <f>MIN(100, (SUM(R44,T44)))</f>
        <v/>
      </c>
      <c r="V44" s="51">
        <f>(U44/100)</f>
        <v/>
      </c>
      <c r="W44" s="52">
        <f>IF(U44&gt;=80,"4.0",IF(U44&gt;=70,"3.5",IF(U44&gt;=65,"3.0",IF(U44&gt;=60,"2.5",IF(U44&gt;=55,"2.0",IF(U44&gt;=50,"1.5",IF(U44&gt;=45,"1.0",IF(U44&gt;=40,"0.5",IF(U44&lt;40,"0.0")))))))))</f>
        <v/>
      </c>
      <c r="X44" s="53">
        <f>IF(U44&gt;=80,"A1",IF(U44&gt;=70,"B2",IF(U44&gt;=65,"B3",IF(U44&gt;=60,"C4",IF(U44&gt;=55,"C5",IF(U44&gt;=50,"C6",IF(U44&gt;=45,"D7",IF(U44&gt;=40,"E8",IF(U44&lt;40,"F9")))))))))</f>
        <v/>
      </c>
      <c r="Z44" s="69" t="inlineStr">
        <is>
          <t>C4</t>
        </is>
      </c>
      <c r="AA44" s="70">
        <f>COUNTIF(X$7:$X264,"c4")</f>
        <v/>
      </c>
    </row>
    <row r="45">
      <c r="A45" s="41" t="n">
        <v>36</v>
      </c>
      <c r="B45" s="54" t="n"/>
      <c r="C45" s="55" t="n"/>
      <c r="D45" s="54" t="n"/>
      <c r="E45" s="44" t="n">
        <v>0</v>
      </c>
      <c r="F45" s="44" t="n">
        <v>0</v>
      </c>
      <c r="G45" s="45">
        <f>MIN(100, (SUM(E45:F45)))</f>
        <v/>
      </c>
      <c r="H45" s="44" t="n">
        <v>0</v>
      </c>
      <c r="I45" s="44" t="n">
        <v>0</v>
      </c>
      <c r="J45" s="45">
        <f>MIN(100,(SUM(H45:I45)))</f>
        <v/>
      </c>
      <c r="K45" s="44" t="n">
        <v>0</v>
      </c>
      <c r="L45" s="44" t="n">
        <v>0</v>
      </c>
      <c r="M45" s="45">
        <f>MIN(100,(SUM(K45:L45)))</f>
        <v/>
      </c>
      <c r="N45" s="44" t="n">
        <v>0</v>
      </c>
      <c r="O45" s="44" t="n">
        <v>0</v>
      </c>
      <c r="P45" s="46">
        <f>MIN(500, (SUM(G45,J45,M45,N45,O45)))</f>
        <v/>
      </c>
      <c r="Q45" s="47">
        <f>P45/500*100</f>
        <v/>
      </c>
      <c r="R45" s="48">
        <f>MIN(50, (ROUNDUP(SUM(Q45)/2,0)))</f>
        <v/>
      </c>
      <c r="S45" s="49" t="n">
        <v>0</v>
      </c>
      <c r="T45" s="48">
        <f>MIN(50, (ROUNDUP(SUM(S45)/2,0)))</f>
        <v/>
      </c>
      <c r="U45" s="50">
        <f>MIN(100, (SUM(R45,T45)))</f>
        <v/>
      </c>
      <c r="V45" s="51">
        <f>(U45/100)</f>
        <v/>
      </c>
      <c r="W45" s="52">
        <f>IF(U45&gt;=80,"4.0",IF(U45&gt;=70,"3.5",IF(U45&gt;=65,"3.0",IF(U45&gt;=60,"2.5",IF(U45&gt;=55,"2.0",IF(U45&gt;=50,"1.5",IF(U45&gt;=45,"1.0",IF(U45&gt;=40,"0.5",IF(U45&lt;40,"0.0")))))))))</f>
        <v/>
      </c>
      <c r="X45" s="53">
        <f>IF(U45&gt;=80,"A1",IF(U45&gt;=70,"B2",IF(U45&gt;=65,"B3",IF(U45&gt;=60,"C4",IF(U45&gt;=55,"C5",IF(U45&gt;=50,"C6",IF(U45&gt;=45,"D7",IF(U45&gt;=40,"E8",IF(U45&lt;40,"F9")))))))))</f>
        <v/>
      </c>
      <c r="Z45" s="69" t="inlineStr">
        <is>
          <t>C5</t>
        </is>
      </c>
      <c r="AA45" s="70">
        <f>COUNTIF(X$7:$X265,"c5")</f>
        <v/>
      </c>
      <c r="AB45" s="71" t="n"/>
      <c r="AC45" s="71" t="n"/>
      <c r="AD45" s="71" t="n"/>
    </row>
    <row r="46">
      <c r="A46" s="41" t="n">
        <v>37</v>
      </c>
      <c r="B46" s="42" t="n"/>
      <c r="C46" s="72" t="n"/>
      <c r="D46" s="42" t="n"/>
      <c r="E46" s="44" t="n">
        <v>0</v>
      </c>
      <c r="F46" s="44" t="n">
        <v>0</v>
      </c>
      <c r="G46" s="45">
        <f>MIN(100, (SUM(E46:F46)))</f>
        <v/>
      </c>
      <c r="H46" s="44" t="n">
        <v>0</v>
      </c>
      <c r="I46" s="44" t="n">
        <v>0</v>
      </c>
      <c r="J46" s="45">
        <f>MIN(100,(SUM(H46:I46)))</f>
        <v/>
      </c>
      <c r="K46" s="44" t="n">
        <v>0</v>
      </c>
      <c r="L46" s="44" t="n">
        <v>0</v>
      </c>
      <c r="M46" s="45">
        <f>MIN(100,(SUM(K46:L46)))</f>
        <v/>
      </c>
      <c r="N46" s="44" t="n">
        <v>0</v>
      </c>
      <c r="O46" s="44" t="n">
        <v>0</v>
      </c>
      <c r="P46" s="46">
        <f>MIN(500, (SUM(G46,J46,M46,N46,O46)))</f>
        <v/>
      </c>
      <c r="Q46" s="47">
        <f>P46/500*100</f>
        <v/>
      </c>
      <c r="R46" s="48">
        <f>MIN(50, (ROUNDUP(SUM(Q46)/2,0)))</f>
        <v/>
      </c>
      <c r="S46" s="49" t="n">
        <v>0</v>
      </c>
      <c r="T46" s="48">
        <f>MIN(50, (ROUNDUP(SUM(S46)/2,0)))</f>
        <v/>
      </c>
      <c r="U46" s="50">
        <f>MIN(100, (SUM(R46,T46)))</f>
        <v/>
      </c>
      <c r="V46" s="51">
        <f>(U46/100)</f>
        <v/>
      </c>
      <c r="W46" s="52">
        <f>IF(U46&gt;=80,"4.0",IF(U46&gt;=70,"3.5",IF(U46&gt;=65,"3.0",IF(U46&gt;=60,"2.5",IF(U46&gt;=55,"2.0",IF(U46&gt;=50,"1.5",IF(U46&gt;=45,"1.0",IF(U46&gt;=40,"0.5",IF(U46&lt;40,"0.0")))))))))</f>
        <v/>
      </c>
      <c r="X46" s="53">
        <f>IF(U46&gt;=80,"A1",IF(U46&gt;=70,"B2",IF(U46&gt;=65,"B3",IF(U46&gt;=60,"C4",IF(U46&gt;=55,"C5",IF(U46&gt;=50,"C6",IF(U46&gt;=45,"D7",IF(U46&gt;=40,"E8",IF(U46&lt;40,"F9")))))))))</f>
        <v/>
      </c>
      <c r="Z46" s="69" t="inlineStr">
        <is>
          <t>C6</t>
        </is>
      </c>
      <c r="AA46" s="70">
        <f>COUNTIF(X$7:$X266,"c6")</f>
        <v/>
      </c>
      <c r="AB46" s="71" t="n"/>
      <c r="AC46" s="71" t="n"/>
      <c r="AD46" s="71" t="n"/>
    </row>
    <row r="47">
      <c r="A47" s="41" t="n">
        <v>38</v>
      </c>
      <c r="B47" s="54" t="n"/>
      <c r="C47" s="55" t="n"/>
      <c r="D47" s="54" t="n"/>
      <c r="E47" s="44" t="n">
        <v>0</v>
      </c>
      <c r="F47" s="44" t="n">
        <v>0</v>
      </c>
      <c r="G47" s="45">
        <f>MIN(100, (SUM(E47:F47)))</f>
        <v/>
      </c>
      <c r="H47" s="44" t="n">
        <v>0</v>
      </c>
      <c r="I47" s="44" t="n">
        <v>0</v>
      </c>
      <c r="J47" s="45">
        <f>MIN(100,(SUM(H47:I47)))</f>
        <v/>
      </c>
      <c r="K47" s="44" t="n">
        <v>0</v>
      </c>
      <c r="L47" s="44" t="n">
        <v>0</v>
      </c>
      <c r="M47" s="45">
        <f>MIN(100,(SUM(K47:L47)))</f>
        <v/>
      </c>
      <c r="N47" s="44" t="n">
        <v>0</v>
      </c>
      <c r="O47" s="44" t="n">
        <v>0</v>
      </c>
      <c r="P47" s="46">
        <f>MIN(500, (SUM(G47,J47,M47,N47,O47)))</f>
        <v/>
      </c>
      <c r="Q47" s="47">
        <f>P47/500*100</f>
        <v/>
      </c>
      <c r="R47" s="48">
        <f>MIN(50, (ROUNDUP(SUM(Q47)/2,0)))</f>
        <v/>
      </c>
      <c r="S47" s="49" t="n">
        <v>0</v>
      </c>
      <c r="T47" s="48">
        <f>MIN(50, (ROUNDUP(SUM(S47)/2,0)))</f>
        <v/>
      </c>
      <c r="U47" s="50">
        <f>MIN(100, (SUM(R47,T47)))</f>
        <v/>
      </c>
      <c r="V47" s="51">
        <f>(U47/100)</f>
        <v/>
      </c>
      <c r="W47" s="52">
        <f>IF(U47&gt;=80,"4.0",IF(U47&gt;=70,"3.5",IF(U47&gt;=65,"3.0",IF(U47&gt;=60,"2.5",IF(U47&gt;=55,"2.0",IF(U47&gt;=50,"1.5",IF(U47&gt;=45,"1.0",IF(U47&gt;=40,"0.5",IF(U47&lt;40,"0.0")))))))))</f>
        <v/>
      </c>
      <c r="X47" s="53">
        <f>IF(U47&gt;=80,"A1",IF(U47&gt;=70,"B2",IF(U47&gt;=65,"B3",IF(U47&gt;=60,"C4",IF(U47&gt;=55,"C5",IF(U47&gt;=50,"C6",IF(U47&gt;=45,"D7",IF(U47&gt;=40,"E8",IF(U47&lt;40,"F9")))))))))</f>
        <v/>
      </c>
      <c r="Z47" s="69" t="inlineStr">
        <is>
          <t>D7</t>
        </is>
      </c>
      <c r="AA47" s="70">
        <f>COUNTIF(X$7:$X267,"d7")</f>
        <v/>
      </c>
      <c r="AB47" s="71" t="n"/>
      <c r="AC47" s="71" t="n"/>
      <c r="AD47" s="71" t="n"/>
    </row>
    <row r="48">
      <c r="A48" s="41" t="n">
        <v>39</v>
      </c>
      <c r="B48" s="42" t="n"/>
      <c r="C48" s="55" t="n"/>
      <c r="D48" s="42" t="n"/>
      <c r="E48" s="44" t="n">
        <v>0</v>
      </c>
      <c r="F48" s="44" t="n">
        <v>0</v>
      </c>
      <c r="G48" s="45">
        <f>MIN(100, (SUM(E48:F48)))</f>
        <v/>
      </c>
      <c r="H48" s="44" t="n">
        <v>0</v>
      </c>
      <c r="I48" s="44" t="n">
        <v>0</v>
      </c>
      <c r="J48" s="45">
        <f>MIN(100,(SUM(H48:I48)))</f>
        <v/>
      </c>
      <c r="K48" s="44" t="n">
        <v>0</v>
      </c>
      <c r="L48" s="44" t="n">
        <v>0</v>
      </c>
      <c r="M48" s="45">
        <f>MIN(100,(SUM(K48:L48)))</f>
        <v/>
      </c>
      <c r="N48" s="44" t="n">
        <v>0</v>
      </c>
      <c r="O48" s="44" t="n">
        <v>0</v>
      </c>
      <c r="P48" s="46">
        <f>MIN(500, (SUM(G48,J48,M48,N48,O48)))</f>
        <v/>
      </c>
      <c r="Q48" s="47">
        <f>P48/500*100</f>
        <v/>
      </c>
      <c r="R48" s="48">
        <f>MIN(50, (ROUNDUP(SUM(Q48)/2,0)))</f>
        <v/>
      </c>
      <c r="S48" s="49" t="n">
        <v>0</v>
      </c>
      <c r="T48" s="48">
        <f>MIN(50, (ROUNDUP(SUM(S48)/2,0)))</f>
        <v/>
      </c>
      <c r="U48" s="50">
        <f>MIN(100, (SUM(R48,T48)))</f>
        <v/>
      </c>
      <c r="V48" s="51">
        <f>(U48/100)</f>
        <v/>
      </c>
      <c r="W48" s="52">
        <f>IF(U48&gt;=80,"4.0",IF(U48&gt;=70,"3.5",IF(U48&gt;=65,"3.0",IF(U48&gt;=60,"2.5",IF(U48&gt;=55,"2.0",IF(U48&gt;=50,"1.5",IF(U48&gt;=45,"1.0",IF(U48&gt;=40,"0.5",IF(U48&lt;40,"0.0")))))))))</f>
        <v/>
      </c>
      <c r="X48" s="53">
        <f>IF(U48&gt;=80,"A1",IF(U48&gt;=70,"B2",IF(U48&gt;=65,"B3",IF(U48&gt;=60,"C4",IF(U48&gt;=55,"C5",IF(U48&gt;=50,"C6",IF(U48&gt;=45,"D7",IF(U48&gt;=40,"E8",IF(U48&lt;40,"F9")))))))))</f>
        <v/>
      </c>
      <c r="Z48" s="69" t="inlineStr">
        <is>
          <t>E8</t>
        </is>
      </c>
      <c r="AA48" s="70">
        <f>COUNTIF(X$7:$X268,"e8")</f>
        <v/>
      </c>
      <c r="AB48" s="71" t="n"/>
      <c r="AC48" s="71" t="n"/>
      <c r="AD48" s="71" t="n"/>
    </row>
    <row r="49" ht="15.75" customHeight="1" thickBot="1">
      <c r="A49" s="41" t="n">
        <v>40</v>
      </c>
      <c r="B49" s="54" t="n"/>
      <c r="C49" s="55" t="n"/>
      <c r="D49" s="54" t="n"/>
      <c r="E49" s="44" t="n">
        <v>0</v>
      </c>
      <c r="F49" s="44" t="n">
        <v>0</v>
      </c>
      <c r="G49" s="45">
        <f>MIN(100, (SUM(E49:F49)))</f>
        <v/>
      </c>
      <c r="H49" s="44" t="n">
        <v>0</v>
      </c>
      <c r="I49" s="44" t="n">
        <v>0</v>
      </c>
      <c r="J49" s="45">
        <f>MIN(100,(SUM(H49:I49)))</f>
        <v/>
      </c>
      <c r="K49" s="44" t="n">
        <v>0</v>
      </c>
      <c r="L49" s="44" t="n">
        <v>0</v>
      </c>
      <c r="M49" s="45">
        <f>MIN(100,(SUM(K49:L49)))</f>
        <v/>
      </c>
      <c r="N49" s="44" t="n">
        <v>0</v>
      </c>
      <c r="O49" s="44" t="n">
        <v>0</v>
      </c>
      <c r="P49" s="46">
        <f>MIN(500, (SUM(G49,J49,M49,N49,O49)))</f>
        <v/>
      </c>
      <c r="Q49" s="47">
        <f>P49/500*100</f>
        <v/>
      </c>
      <c r="R49" s="48">
        <f>MIN(50, (ROUNDUP(SUM(Q49)/2,0)))</f>
        <v/>
      </c>
      <c r="S49" s="49" t="n">
        <v>0</v>
      </c>
      <c r="T49" s="48">
        <f>MIN(50, (ROUNDUP(SUM(S49)/2,0)))</f>
        <v/>
      </c>
      <c r="U49" s="50">
        <f>MIN(100, (SUM(R49,T49)))</f>
        <v/>
      </c>
      <c r="V49" s="51">
        <f>(U49/100)</f>
        <v/>
      </c>
      <c r="W49" s="52">
        <f>IF(U49&gt;=80,"4.0",IF(U49&gt;=70,"3.5",IF(U49&gt;=65,"3.0",IF(U49&gt;=60,"2.5",IF(U49&gt;=55,"2.0",IF(U49&gt;=50,"1.5",IF(U49&gt;=45,"1.0",IF(U49&gt;=40,"0.5",IF(U49&lt;40,"0.0")))))))))</f>
        <v/>
      </c>
      <c r="X49" s="53">
        <f>IF(U49&gt;=80,"A1",IF(U49&gt;=70,"B2",IF(U49&gt;=65,"B3",IF(U49&gt;=60,"C4",IF(U49&gt;=55,"C5",IF(U49&gt;=50,"C6",IF(U49&gt;=45,"D7",IF(U49&gt;=40,"E8",IF(U49&lt;40,"F9")))))))))</f>
        <v/>
      </c>
      <c r="Z49" s="73" t="inlineStr">
        <is>
          <t>F9</t>
        </is>
      </c>
      <c r="AA49" s="74">
        <f>COUNTIF(X10:X71,"f9")</f>
        <v/>
      </c>
      <c r="AB49" s="71" t="n"/>
      <c r="AC49" s="71" t="n"/>
      <c r="AD49" s="71" t="n"/>
    </row>
    <row r="50" ht="15.75" customHeight="1" thickBot="1">
      <c r="A50" s="41" t="n">
        <v>41</v>
      </c>
      <c r="B50" s="42" t="n"/>
      <c r="C50" s="55" t="n"/>
      <c r="D50" s="42" t="n"/>
      <c r="E50" s="44" t="n">
        <v>0</v>
      </c>
      <c r="F50" s="44" t="n">
        <v>0</v>
      </c>
      <c r="G50" s="45">
        <f>MIN(100, (SUM(E50:F50)))</f>
        <v/>
      </c>
      <c r="H50" s="44" t="n">
        <v>0</v>
      </c>
      <c r="I50" s="44" t="n">
        <v>0</v>
      </c>
      <c r="J50" s="45">
        <f>MIN(100,(SUM(H50:I50)))</f>
        <v/>
      </c>
      <c r="K50" s="44" t="n">
        <v>0</v>
      </c>
      <c r="L50" s="44" t="n">
        <v>0</v>
      </c>
      <c r="M50" s="45">
        <f>MIN(100,(SUM(K50:L50)))</f>
        <v/>
      </c>
      <c r="N50" s="44" t="n">
        <v>0</v>
      </c>
      <c r="O50" s="44" t="n">
        <v>0</v>
      </c>
      <c r="P50" s="46">
        <f>MIN(500, (SUM(G50,J50,M50,N50,O50)))</f>
        <v/>
      </c>
      <c r="Q50" s="47">
        <f>P50/500*100</f>
        <v/>
      </c>
      <c r="R50" s="48">
        <f>MIN(50, (ROUNDUP(SUM(Q50)/2,0)))</f>
        <v/>
      </c>
      <c r="S50" s="49" t="n">
        <v>0</v>
      </c>
      <c r="T50" s="48">
        <f>MIN(50, (ROUNDUP(SUM(S50)/2,0)))</f>
        <v/>
      </c>
      <c r="U50" s="50">
        <f>MIN(100, (SUM(R50,T50)))</f>
        <v/>
      </c>
      <c r="V50" s="51">
        <f>(U50/100)</f>
        <v/>
      </c>
      <c r="W50" s="52">
        <f>IF(U50&gt;=80,"4.0",IF(U50&gt;=70,"3.5",IF(U50&gt;=65,"3.0",IF(U50&gt;=60,"2.5",IF(U50&gt;=55,"2.0",IF(U50&gt;=50,"1.5",IF(U50&gt;=45,"1.0",IF(U50&gt;=40,"0.5",IF(U50&lt;40,"0.0")))))))))</f>
        <v/>
      </c>
      <c r="X50" s="53">
        <f>IF(U50&gt;=80,"A1",IF(U50&gt;=70,"B2",IF(U50&gt;=65,"B3",IF(U50&gt;=60,"C4",IF(U50&gt;=55,"C5",IF(U50&gt;=50,"C6",IF(U50&gt;=45,"D7",IF(U50&gt;=40,"E8",IF(U50&lt;40,"F9")))))))))</f>
        <v/>
      </c>
      <c r="Z50" s="75" t="inlineStr">
        <is>
          <t>Total</t>
        </is>
      </c>
      <c r="AA50" s="76">
        <f>SUM(AA41:AA49)</f>
        <v/>
      </c>
      <c r="AB50" s="71" t="n"/>
      <c r="AC50" s="71" t="n"/>
      <c r="AD50" s="71" t="n"/>
    </row>
    <row r="51">
      <c r="A51" s="41" t="n">
        <v>42</v>
      </c>
      <c r="B51" s="54" t="n"/>
      <c r="C51" s="55" t="n"/>
      <c r="D51" s="54" t="n"/>
      <c r="E51" s="44" t="n">
        <v>0</v>
      </c>
      <c r="F51" s="44" t="n">
        <v>0</v>
      </c>
      <c r="G51" s="45">
        <f>MIN(100, (SUM(E51:F51)))</f>
        <v/>
      </c>
      <c r="H51" s="44" t="n">
        <v>0</v>
      </c>
      <c r="I51" s="44" t="n">
        <v>0</v>
      </c>
      <c r="J51" s="45">
        <f>MIN(100,(SUM(H51:I51)))</f>
        <v/>
      </c>
      <c r="K51" s="44" t="n">
        <v>0</v>
      </c>
      <c r="L51" s="44" t="n">
        <v>0</v>
      </c>
      <c r="M51" s="45">
        <f>MIN(100,(SUM(K51:L51)))</f>
        <v/>
      </c>
      <c r="N51" s="44" t="n">
        <v>0</v>
      </c>
      <c r="O51" s="44" t="n">
        <v>0</v>
      </c>
      <c r="P51" s="46">
        <f>MIN(500, (SUM(G51,J51,M51,N51,O51)))</f>
        <v/>
      </c>
      <c r="Q51" s="47">
        <f>P51/500*100</f>
        <v/>
      </c>
      <c r="R51" s="48">
        <f>MIN(50, (ROUNDUP(SUM(Q51)/2,0)))</f>
        <v/>
      </c>
      <c r="S51" s="49" t="n">
        <v>0</v>
      </c>
      <c r="T51" s="48">
        <f>MIN(50, (ROUNDUP(SUM(S51)/2,0)))</f>
        <v/>
      </c>
      <c r="U51" s="50">
        <f>MIN(100, (SUM(R51,T51)))</f>
        <v/>
      </c>
      <c r="V51" s="51">
        <f>(U51/100)</f>
        <v/>
      </c>
      <c r="W51" s="52">
        <f>IF(U51&gt;=80,"4.0",IF(U51&gt;=70,"3.5",IF(U51&gt;=65,"3.0",IF(U51&gt;=60,"2.5",IF(U51&gt;=55,"2.0",IF(U51&gt;=50,"1.5",IF(U51&gt;=45,"1.0",IF(U51&gt;=40,"0.5",IF(U51&lt;40,"0.0")))))))))</f>
        <v/>
      </c>
      <c r="X51" s="53">
        <f>IF(U51&gt;=80,"A1",IF(U51&gt;=70,"B2",IF(U51&gt;=65,"B3",IF(U51&gt;=60,"C4",IF(U51&gt;=55,"C5",IF(U51&gt;=50,"C6",IF(U51&gt;=45,"D7",IF(U51&gt;=40,"E8",IF(U51&lt;40,"F9")))))))))</f>
        <v/>
      </c>
      <c r="Z51" s="71" t="n"/>
      <c r="AA51" s="71" t="n"/>
      <c r="AB51" s="71" t="n"/>
      <c r="AC51" s="71" t="n"/>
      <c r="AD51" s="71" t="n"/>
    </row>
    <row r="52">
      <c r="A52" s="41" t="n">
        <v>43</v>
      </c>
      <c r="B52" s="42" t="n"/>
      <c r="C52" s="55" t="n"/>
      <c r="D52" s="42" t="n"/>
      <c r="E52" s="44" t="n">
        <v>0</v>
      </c>
      <c r="F52" s="44" t="n">
        <v>0</v>
      </c>
      <c r="G52" s="45">
        <f>MIN(100, (SUM(E52:F52)))</f>
        <v/>
      </c>
      <c r="H52" s="44" t="n">
        <v>0</v>
      </c>
      <c r="I52" s="44" t="n">
        <v>0</v>
      </c>
      <c r="J52" s="45">
        <f>MIN(100,(SUM(H52:I52)))</f>
        <v/>
      </c>
      <c r="K52" s="44" t="n">
        <v>0</v>
      </c>
      <c r="L52" s="44" t="n">
        <v>0</v>
      </c>
      <c r="M52" s="45">
        <f>MIN(100,(SUM(K52:L52)))</f>
        <v/>
      </c>
      <c r="N52" s="44" t="n">
        <v>0</v>
      </c>
      <c r="O52" s="44" t="n">
        <v>0</v>
      </c>
      <c r="P52" s="46">
        <f>MIN(500, (SUM(G52,J52,M52,N52,O52)))</f>
        <v/>
      </c>
      <c r="Q52" s="47">
        <f>P52/500*100</f>
        <v/>
      </c>
      <c r="R52" s="48">
        <f>MIN(50, (ROUNDUP(SUM(Q52)/2,0)))</f>
        <v/>
      </c>
      <c r="S52" s="49" t="n">
        <v>0</v>
      </c>
      <c r="T52" s="48">
        <f>MIN(50, (ROUNDUP(SUM(S52)/2,0)))</f>
        <v/>
      </c>
      <c r="U52" s="50">
        <f>MIN(100, (SUM(R52,T52)))</f>
        <v/>
      </c>
      <c r="V52" s="51">
        <f>(U52/100)</f>
        <v/>
      </c>
      <c r="W52" s="52">
        <f>IF(U52&gt;=80,"4.0",IF(U52&gt;=70,"3.5",IF(U52&gt;=65,"3.0",IF(U52&gt;=60,"2.5",IF(U52&gt;=55,"2.0",IF(U52&gt;=50,"1.5",IF(U52&gt;=45,"1.0",IF(U52&gt;=40,"0.5",IF(U52&lt;40,"0.0")))))))))</f>
        <v/>
      </c>
      <c r="X52" s="53">
        <f>IF(U52&gt;=80,"A1",IF(U52&gt;=70,"B2",IF(U52&gt;=65,"B3",IF(U52&gt;=60,"C4",IF(U52&gt;=55,"C5",IF(U52&gt;=50,"C6",IF(U52&gt;=45,"D7",IF(U52&gt;=40,"E8",IF(U52&lt;40,"F9")))))))))</f>
        <v/>
      </c>
      <c r="Z52" s="71" t="n"/>
      <c r="AA52" s="71" t="n"/>
      <c r="AB52" s="71" t="n"/>
      <c r="AC52" s="71" t="n"/>
      <c r="AD52" s="71" t="n"/>
    </row>
    <row r="53">
      <c r="A53" s="41" t="n">
        <v>44</v>
      </c>
      <c r="B53" s="54" t="n"/>
      <c r="C53" s="55" t="n"/>
      <c r="D53" s="54" t="n"/>
      <c r="E53" s="44" t="n">
        <v>0</v>
      </c>
      <c r="F53" s="44" t="n">
        <v>0</v>
      </c>
      <c r="G53" s="45">
        <f>MIN(100, (SUM(E53:F53)))</f>
        <v/>
      </c>
      <c r="H53" s="44" t="n">
        <v>0</v>
      </c>
      <c r="I53" s="44" t="n">
        <v>0</v>
      </c>
      <c r="J53" s="45">
        <f>MIN(100,(SUM(H53:I53)))</f>
        <v/>
      </c>
      <c r="K53" s="44" t="n">
        <v>0</v>
      </c>
      <c r="L53" s="44" t="n">
        <v>0</v>
      </c>
      <c r="M53" s="45">
        <f>MIN(100,(SUM(K53:L53)))</f>
        <v/>
      </c>
      <c r="N53" s="44" t="n">
        <v>0</v>
      </c>
      <c r="O53" s="44" t="n">
        <v>0</v>
      </c>
      <c r="P53" s="46">
        <f>MIN(500, (SUM(G53,J53,M53,N53,O53)))</f>
        <v/>
      </c>
      <c r="Q53" s="47">
        <f>P53/500*100</f>
        <v/>
      </c>
      <c r="R53" s="48">
        <f>MIN(50, (ROUNDUP(SUM(Q53)/2,0)))</f>
        <v/>
      </c>
      <c r="S53" s="49" t="n">
        <v>0</v>
      </c>
      <c r="T53" s="48">
        <f>MIN(50, (ROUNDUP(SUM(S53)/2,0)))</f>
        <v/>
      </c>
      <c r="U53" s="50">
        <f>MIN(100, (SUM(R53,T53)))</f>
        <v/>
      </c>
      <c r="V53" s="51">
        <f>(U53/100)</f>
        <v/>
      </c>
      <c r="W53" s="52">
        <f>IF(U53&gt;=80,"4.0",IF(U53&gt;=70,"3.5",IF(U53&gt;=65,"3.0",IF(U53&gt;=60,"2.5",IF(U53&gt;=55,"2.0",IF(U53&gt;=50,"1.5",IF(U53&gt;=45,"1.0",IF(U53&gt;=40,"0.5",IF(U53&lt;40,"0.0")))))))))</f>
        <v/>
      </c>
      <c r="X53" s="53">
        <f>IF(U53&gt;=80,"A1",IF(U53&gt;=70,"B2",IF(U53&gt;=65,"B3",IF(U53&gt;=60,"C4",IF(U53&gt;=55,"C5",IF(U53&gt;=50,"C6",IF(U53&gt;=45,"D7",IF(U53&gt;=40,"E8",IF(U53&lt;40,"F9")))))))))</f>
        <v/>
      </c>
      <c r="Z53" s="71" t="n"/>
      <c r="AA53" s="71" t="n"/>
      <c r="AB53" s="71" t="n"/>
      <c r="AC53" s="71" t="n"/>
      <c r="AD53" s="71" t="n"/>
    </row>
    <row r="54">
      <c r="A54" s="41" t="n">
        <v>45</v>
      </c>
      <c r="B54" s="42" t="n"/>
      <c r="C54" s="55" t="n"/>
      <c r="D54" s="42" t="n"/>
      <c r="E54" s="44" t="n">
        <v>0</v>
      </c>
      <c r="F54" s="44" t="n">
        <v>0</v>
      </c>
      <c r="G54" s="45">
        <f>MIN(100, (SUM(E54:F54)))</f>
        <v/>
      </c>
      <c r="H54" s="44" t="n">
        <v>0</v>
      </c>
      <c r="I54" s="44" t="n">
        <v>0</v>
      </c>
      <c r="J54" s="45">
        <f>MIN(100,(SUM(H54:I54)))</f>
        <v/>
      </c>
      <c r="K54" s="44" t="n">
        <v>0</v>
      </c>
      <c r="L54" s="44" t="n">
        <v>0</v>
      </c>
      <c r="M54" s="45">
        <f>MIN(100,(SUM(K54:L54)))</f>
        <v/>
      </c>
      <c r="N54" s="44" t="n">
        <v>0</v>
      </c>
      <c r="O54" s="44" t="n">
        <v>0</v>
      </c>
      <c r="P54" s="46">
        <f>MIN(500, (SUM(G54,J54,M54,N54,O54)))</f>
        <v/>
      </c>
      <c r="Q54" s="47">
        <f>P54/500*100</f>
        <v/>
      </c>
      <c r="R54" s="48">
        <f>MIN(50, (ROUNDUP(SUM(Q54)/2,0)))</f>
        <v/>
      </c>
      <c r="S54" s="49" t="n">
        <v>0</v>
      </c>
      <c r="T54" s="48">
        <f>MIN(50, (ROUNDUP(SUM(S54)/2,0)))</f>
        <v/>
      </c>
      <c r="U54" s="50">
        <f>MIN(100, (SUM(R54,T54)))</f>
        <v/>
      </c>
      <c r="V54" s="51">
        <f>(U54/100)</f>
        <v/>
      </c>
      <c r="W54" s="52">
        <f>IF(U54&gt;=80,"4.0",IF(U54&gt;=70,"3.5",IF(U54&gt;=65,"3.0",IF(U54&gt;=60,"2.5",IF(U54&gt;=55,"2.0",IF(U54&gt;=50,"1.5",IF(U54&gt;=45,"1.0",IF(U54&gt;=40,"0.5",IF(U54&lt;40,"0.0")))))))))</f>
        <v/>
      </c>
      <c r="X54" s="53">
        <f>IF(U54&gt;=80,"A1",IF(U54&gt;=70,"B2",IF(U54&gt;=65,"B3",IF(U54&gt;=60,"C4",IF(U54&gt;=55,"C5",IF(U54&gt;=50,"C6",IF(U54&gt;=45,"D7",IF(U54&gt;=40,"E8",IF(U54&lt;40,"F9")))))))))</f>
        <v/>
      </c>
      <c r="Z54" s="71" t="n"/>
      <c r="AA54" s="71" t="n"/>
      <c r="AB54" s="71" t="n"/>
      <c r="AC54" s="71" t="n"/>
      <c r="AD54" s="71" t="n"/>
    </row>
    <row r="55">
      <c r="A55" s="41" t="n">
        <v>46</v>
      </c>
      <c r="B55" s="54" t="n"/>
      <c r="C55" s="72" t="n"/>
      <c r="D55" s="54" t="n"/>
      <c r="E55" s="44" t="n">
        <v>0</v>
      </c>
      <c r="F55" s="44" t="n">
        <v>0</v>
      </c>
      <c r="G55" s="45">
        <f>MIN(100, (SUM(E55:F55)))</f>
        <v/>
      </c>
      <c r="H55" s="44" t="n">
        <v>0</v>
      </c>
      <c r="I55" s="44" t="n">
        <v>0</v>
      </c>
      <c r="J55" s="45">
        <f>MIN(100,(SUM(H55:I55)))</f>
        <v/>
      </c>
      <c r="K55" s="44" t="n">
        <v>0</v>
      </c>
      <c r="L55" s="44" t="n">
        <v>0</v>
      </c>
      <c r="M55" s="45">
        <f>MIN(100,(SUM(K55:L55)))</f>
        <v/>
      </c>
      <c r="N55" s="44" t="n">
        <v>0</v>
      </c>
      <c r="O55" s="44" t="n">
        <v>0</v>
      </c>
      <c r="P55" s="46">
        <f>MIN(500, (SUM(G55,J55,M55,N55,O55)))</f>
        <v/>
      </c>
      <c r="Q55" s="47">
        <f>P55/500*100</f>
        <v/>
      </c>
      <c r="R55" s="48">
        <f>MIN(50, (ROUNDUP(SUM(Q55)/2,0)))</f>
        <v/>
      </c>
      <c r="S55" s="49" t="n">
        <v>0</v>
      </c>
      <c r="T55" s="48">
        <f>MIN(50, (ROUNDUP(SUM(S55)/2,0)))</f>
        <v/>
      </c>
      <c r="U55" s="50">
        <f>MIN(100, (SUM(R55,T55)))</f>
        <v/>
      </c>
      <c r="V55" s="51">
        <f>(U55/100)</f>
        <v/>
      </c>
      <c r="W55" s="52">
        <f>IF(U55&gt;=80,"4.0",IF(U55&gt;=70,"3.5",IF(U55&gt;=65,"3.0",IF(U55&gt;=60,"2.5",IF(U55&gt;=55,"2.0",IF(U55&gt;=50,"1.5",IF(U55&gt;=45,"1.0",IF(U55&gt;=40,"0.5",IF(U55&lt;40,"0.0")))))))))</f>
        <v/>
      </c>
      <c r="X55" s="53">
        <f>IF(U55&gt;=80,"A1",IF(U55&gt;=70,"B2",IF(U55&gt;=65,"B3",IF(U55&gt;=60,"C4",IF(U55&gt;=55,"C5",IF(U55&gt;=50,"C6",IF(U55&gt;=45,"D7",IF(U55&gt;=40,"E8",IF(U55&lt;40,"F9")))))))))</f>
        <v/>
      </c>
      <c r="Z55" s="71" t="n"/>
      <c r="AA55" s="71" t="n"/>
      <c r="AB55" s="71" t="n"/>
      <c r="AC55" s="71" t="n"/>
      <c r="AD55" s="71" t="n"/>
    </row>
    <row r="56">
      <c r="A56" s="41" t="n">
        <v>47</v>
      </c>
      <c r="B56" s="42" t="n"/>
      <c r="C56" s="55" t="n"/>
      <c r="D56" s="42" t="n"/>
      <c r="E56" s="44" t="n">
        <v>0</v>
      </c>
      <c r="F56" s="44" t="n">
        <v>0</v>
      </c>
      <c r="G56" s="45">
        <f>MIN(100, (SUM(E56:F56)))</f>
        <v/>
      </c>
      <c r="H56" s="44" t="n">
        <v>0</v>
      </c>
      <c r="I56" s="44" t="n">
        <v>0</v>
      </c>
      <c r="J56" s="45">
        <f>MIN(100,(SUM(H56:I56)))</f>
        <v/>
      </c>
      <c r="K56" s="44" t="n">
        <v>0</v>
      </c>
      <c r="L56" s="44" t="n">
        <v>0</v>
      </c>
      <c r="M56" s="45">
        <f>MIN(100,(SUM(K56:L56)))</f>
        <v/>
      </c>
      <c r="N56" s="44" t="n">
        <v>0</v>
      </c>
      <c r="O56" s="44" t="n">
        <v>0</v>
      </c>
      <c r="P56" s="46">
        <f>MIN(500, (SUM(G56,J56,M56,N56,O56)))</f>
        <v/>
      </c>
      <c r="Q56" s="47">
        <f>P56/500*100</f>
        <v/>
      </c>
      <c r="R56" s="48">
        <f>MIN(50, (ROUNDUP(SUM(Q56)/2,0)))</f>
        <v/>
      </c>
      <c r="S56" s="49" t="n">
        <v>0</v>
      </c>
      <c r="T56" s="48">
        <f>MIN(50, (ROUNDUP(SUM(S56)/2,0)))</f>
        <v/>
      </c>
      <c r="U56" s="50">
        <f>MIN(100, (SUM(R56,T56)))</f>
        <v/>
      </c>
      <c r="V56" s="51">
        <f>(U56/100)</f>
        <v/>
      </c>
      <c r="W56" s="52">
        <f>IF(U56&gt;=80,"4.0",IF(U56&gt;=70,"3.5",IF(U56&gt;=65,"3.0",IF(U56&gt;=60,"2.5",IF(U56&gt;=55,"2.0",IF(U56&gt;=50,"1.5",IF(U56&gt;=45,"1.0",IF(U56&gt;=40,"0.5",IF(U56&lt;40,"0.0")))))))))</f>
        <v/>
      </c>
      <c r="X56" s="53">
        <f>IF(U56&gt;=80,"A1",IF(U56&gt;=70,"B2",IF(U56&gt;=65,"B3",IF(U56&gt;=60,"C4",IF(U56&gt;=55,"C5",IF(U56&gt;=50,"C6",IF(U56&gt;=45,"D7",IF(U56&gt;=40,"E8",IF(U56&lt;40,"F9")))))))))</f>
        <v/>
      </c>
      <c r="Z56" s="71" t="n"/>
      <c r="AA56" s="71" t="n"/>
      <c r="AB56" s="71" t="n"/>
      <c r="AC56" s="71" t="n"/>
      <c r="AD56" s="71" t="n"/>
    </row>
    <row r="57">
      <c r="A57" s="41" t="n">
        <v>48</v>
      </c>
      <c r="B57" s="54" t="n"/>
      <c r="C57" s="55" t="n"/>
      <c r="D57" s="54" t="n"/>
      <c r="E57" s="44" t="n">
        <v>0</v>
      </c>
      <c r="F57" s="44" t="n">
        <v>0</v>
      </c>
      <c r="G57" s="45">
        <f>MIN(100, (SUM(E57:F57)))</f>
        <v/>
      </c>
      <c r="H57" s="44" t="n">
        <v>0</v>
      </c>
      <c r="I57" s="44" t="n">
        <v>0</v>
      </c>
      <c r="J57" s="45">
        <f>MIN(100,(SUM(H57:I57)))</f>
        <v/>
      </c>
      <c r="K57" s="44" t="n">
        <v>0</v>
      </c>
      <c r="L57" s="44" t="n">
        <v>0</v>
      </c>
      <c r="M57" s="45">
        <f>MIN(100,(SUM(K57:L57)))</f>
        <v/>
      </c>
      <c r="N57" s="44" t="n">
        <v>0</v>
      </c>
      <c r="O57" s="44" t="n">
        <v>0</v>
      </c>
      <c r="P57" s="46">
        <f>MIN(500, (SUM(G57,J57,M57,N57,O57)))</f>
        <v/>
      </c>
      <c r="Q57" s="47">
        <f>P57/500*100</f>
        <v/>
      </c>
      <c r="R57" s="48">
        <f>MIN(50, (ROUNDUP(SUM(Q57)/2,0)))</f>
        <v/>
      </c>
      <c r="S57" s="49" t="n">
        <v>0</v>
      </c>
      <c r="T57" s="48">
        <f>MIN(50, (ROUNDUP(SUM(S57)/2,0)))</f>
        <v/>
      </c>
      <c r="U57" s="50">
        <f>MIN(100, (SUM(R57,T57)))</f>
        <v/>
      </c>
      <c r="V57" s="51">
        <f>(U57/100)</f>
        <v/>
      </c>
      <c r="W57" s="52">
        <f>IF(U57&gt;=80,"4.0",IF(U57&gt;=70,"3.5",IF(U57&gt;=65,"3.0",IF(U57&gt;=60,"2.5",IF(U57&gt;=55,"2.0",IF(U57&gt;=50,"1.5",IF(U57&gt;=45,"1.0",IF(U57&gt;=40,"0.5",IF(U57&lt;40,"0.0")))))))))</f>
        <v/>
      </c>
      <c r="X57" s="53">
        <f>IF(U57&gt;=80,"A1",IF(U57&gt;=70,"B2",IF(U57&gt;=65,"B3",IF(U57&gt;=60,"C4",IF(U57&gt;=55,"C5",IF(U57&gt;=50,"C6",IF(U57&gt;=45,"D7",IF(U57&gt;=40,"E8",IF(U57&lt;40,"F9")))))))))</f>
        <v/>
      </c>
      <c r="Z57" s="71" t="n"/>
      <c r="AA57" s="71" t="n"/>
      <c r="AB57" s="71" t="n"/>
      <c r="AC57" s="71" t="n"/>
      <c r="AD57" s="71" t="n"/>
    </row>
    <row r="58">
      <c r="A58" s="41" t="n">
        <v>49</v>
      </c>
      <c r="B58" s="42" t="n"/>
      <c r="C58" s="55" t="n"/>
      <c r="D58" s="42" t="n"/>
      <c r="E58" s="44" t="n">
        <v>0</v>
      </c>
      <c r="F58" s="44" t="n">
        <v>0</v>
      </c>
      <c r="G58" s="45">
        <f>MIN(100, (SUM(E58:F58)))</f>
        <v/>
      </c>
      <c r="H58" s="44" t="n">
        <v>0</v>
      </c>
      <c r="I58" s="44" t="n">
        <v>0</v>
      </c>
      <c r="J58" s="45">
        <f>MIN(100,(SUM(H58:I58)))</f>
        <v/>
      </c>
      <c r="K58" s="44" t="n">
        <v>0</v>
      </c>
      <c r="L58" s="44" t="n">
        <v>0</v>
      </c>
      <c r="M58" s="45">
        <f>MIN(100,(SUM(K58:L58)))</f>
        <v/>
      </c>
      <c r="N58" s="44" t="n">
        <v>0</v>
      </c>
      <c r="O58" s="44" t="n">
        <v>0</v>
      </c>
      <c r="P58" s="46">
        <f>MIN(500, (SUM(G58,J58,M58,N58,O58)))</f>
        <v/>
      </c>
      <c r="Q58" s="47">
        <f>P58/500*100</f>
        <v/>
      </c>
      <c r="R58" s="48">
        <f>MIN(50, (ROUNDUP(SUM(Q58)/2,0)))</f>
        <v/>
      </c>
      <c r="S58" s="49" t="n">
        <v>0</v>
      </c>
      <c r="T58" s="48">
        <f>MIN(50, (ROUNDUP(SUM(S58)/2,0)))</f>
        <v/>
      </c>
      <c r="U58" s="50">
        <f>MIN(100, (SUM(R58,T58)))</f>
        <v/>
      </c>
      <c r="V58" s="51">
        <f>(U58/100)</f>
        <v/>
      </c>
      <c r="W58" s="52">
        <f>IF(U58&gt;=80,"4.0",IF(U58&gt;=70,"3.5",IF(U58&gt;=65,"3.0",IF(U58&gt;=60,"2.5",IF(U58&gt;=55,"2.0",IF(U58&gt;=50,"1.5",IF(U58&gt;=45,"1.0",IF(U58&gt;=40,"0.5",IF(U58&lt;40,"0.0")))))))))</f>
        <v/>
      </c>
      <c r="X58" s="53">
        <f>IF(U58&gt;=80,"A1",IF(U58&gt;=70,"B2",IF(U58&gt;=65,"B3",IF(U58&gt;=60,"C4",IF(U58&gt;=55,"C5",IF(U58&gt;=50,"C6",IF(U58&gt;=45,"D7",IF(U58&gt;=40,"E8",IF(U58&lt;40,"F9")))))))))</f>
        <v/>
      </c>
      <c r="Z58" s="71" t="n"/>
      <c r="AA58" s="71" t="n"/>
      <c r="AB58" s="71" t="n"/>
      <c r="AC58" s="71" t="n"/>
      <c r="AD58" s="71" t="n"/>
    </row>
    <row r="59">
      <c r="A59" s="41" t="n">
        <v>50</v>
      </c>
      <c r="B59" s="54" t="n"/>
      <c r="C59" s="55" t="n"/>
      <c r="D59" s="54" t="n"/>
      <c r="E59" s="44" t="n">
        <v>0</v>
      </c>
      <c r="F59" s="44" t="n">
        <v>0</v>
      </c>
      <c r="G59" s="45">
        <f>MIN(100, (SUM(E59:F59)))</f>
        <v/>
      </c>
      <c r="H59" s="44" t="n">
        <v>0</v>
      </c>
      <c r="I59" s="44" t="n">
        <v>0</v>
      </c>
      <c r="J59" s="45">
        <f>MIN(100,(SUM(H59:I59)))</f>
        <v/>
      </c>
      <c r="K59" s="44" t="n">
        <v>0</v>
      </c>
      <c r="L59" s="44" t="n">
        <v>0</v>
      </c>
      <c r="M59" s="45">
        <f>MIN(100,(SUM(K59:L59)))</f>
        <v/>
      </c>
      <c r="N59" s="44" t="n">
        <v>0</v>
      </c>
      <c r="O59" s="44" t="n">
        <v>0</v>
      </c>
      <c r="P59" s="46">
        <f>MIN(500, (SUM(G59,J59,M59,N59,O59)))</f>
        <v/>
      </c>
      <c r="Q59" s="47">
        <f>P59/500*100</f>
        <v/>
      </c>
      <c r="R59" s="48">
        <f>MIN(50, (ROUNDUP(SUM(Q59)/2,0)))</f>
        <v/>
      </c>
      <c r="S59" s="49" t="n">
        <v>0</v>
      </c>
      <c r="T59" s="48">
        <f>MIN(50, (ROUNDUP(SUM(S59)/2,0)))</f>
        <v/>
      </c>
      <c r="U59" s="50">
        <f>MIN(100, (SUM(R59,T59)))</f>
        <v/>
      </c>
      <c r="V59" s="51">
        <f>(U59/100)</f>
        <v/>
      </c>
      <c r="W59" s="52">
        <f>IF(U59&gt;=80,"4.0",IF(U59&gt;=70,"3.5",IF(U59&gt;=65,"3.0",IF(U59&gt;=60,"2.5",IF(U59&gt;=55,"2.0",IF(U59&gt;=50,"1.5",IF(U59&gt;=45,"1.0",IF(U59&gt;=40,"0.5",IF(U59&lt;40,"0.0")))))))))</f>
        <v/>
      </c>
      <c r="X59" s="53">
        <f>IF(U59&gt;=80,"A1",IF(U59&gt;=70,"B2",IF(U59&gt;=65,"B3",IF(U59&gt;=60,"C4",IF(U59&gt;=55,"C5",IF(U59&gt;=50,"C6",IF(U59&gt;=45,"D7",IF(U59&gt;=40,"E8",IF(U59&lt;40,"F9")))))))))</f>
        <v/>
      </c>
      <c r="Z59" s="71" t="n"/>
      <c r="AA59" s="71" t="n"/>
      <c r="AB59" s="71" t="n"/>
      <c r="AC59" s="71" t="n"/>
      <c r="AD59" s="71" t="n"/>
    </row>
    <row r="60">
      <c r="A60" s="41" t="n">
        <v>51</v>
      </c>
      <c r="B60" s="42" t="n"/>
      <c r="C60" s="55" t="n"/>
      <c r="D60" s="42" t="n"/>
      <c r="E60" s="44" t="n">
        <v>0</v>
      </c>
      <c r="F60" s="44" t="n">
        <v>0</v>
      </c>
      <c r="G60" s="45">
        <f>MIN(100, (SUM(E60:F60)))</f>
        <v/>
      </c>
      <c r="H60" s="44" t="n">
        <v>0</v>
      </c>
      <c r="I60" s="44" t="n">
        <v>0</v>
      </c>
      <c r="J60" s="45">
        <f>MIN(100,(SUM(H60:I60)))</f>
        <v/>
      </c>
      <c r="K60" s="44" t="n">
        <v>0</v>
      </c>
      <c r="L60" s="44" t="n">
        <v>0</v>
      </c>
      <c r="M60" s="45">
        <f>MIN(100,(SUM(K60:L60)))</f>
        <v/>
      </c>
      <c r="N60" s="44" t="n">
        <v>0</v>
      </c>
      <c r="O60" s="44" t="n">
        <v>0</v>
      </c>
      <c r="P60" s="46">
        <f>MIN(500, (SUM(G60,J60,M60,N60,O60)))</f>
        <v/>
      </c>
      <c r="Q60" s="47">
        <f>P60/500*100</f>
        <v/>
      </c>
      <c r="R60" s="48">
        <f>MIN(50, (ROUNDUP(SUM(Q60)/2,0)))</f>
        <v/>
      </c>
      <c r="S60" s="49" t="n">
        <v>0</v>
      </c>
      <c r="T60" s="48">
        <f>MIN(50, (ROUNDUP(SUM(S60)/2,0)))</f>
        <v/>
      </c>
      <c r="U60" s="50">
        <f>MIN(100, (SUM(R60,T60)))</f>
        <v/>
      </c>
      <c r="V60" s="51">
        <f>(U60/100)</f>
        <v/>
      </c>
      <c r="W60" s="52">
        <f>IF(U60&gt;=80,"4.0",IF(U60&gt;=70,"3.5",IF(U60&gt;=65,"3.0",IF(U60&gt;=60,"2.5",IF(U60&gt;=55,"2.0",IF(U60&gt;=50,"1.5",IF(U60&gt;=45,"1.0",IF(U60&gt;=40,"0.5",IF(U60&lt;40,"0.0")))))))))</f>
        <v/>
      </c>
      <c r="X60" s="53">
        <f>IF(U60&gt;=80,"A1",IF(U60&gt;=70,"B2",IF(U60&gt;=65,"B3",IF(U60&gt;=60,"C4",IF(U60&gt;=55,"C5",IF(U60&gt;=50,"C6",IF(U60&gt;=45,"D7",IF(U60&gt;=40,"E8",IF(U60&lt;40,"F9")))))))))</f>
        <v/>
      </c>
      <c r="Z60" s="71" t="n"/>
      <c r="AA60" s="71" t="n"/>
      <c r="AB60" s="71" t="n"/>
      <c r="AC60" s="71" t="n"/>
      <c r="AD60" s="71" t="n"/>
    </row>
    <row r="61">
      <c r="A61" s="41" t="n">
        <v>52</v>
      </c>
      <c r="B61" s="54" t="n"/>
      <c r="C61" s="55" t="n"/>
      <c r="D61" s="54" t="n"/>
      <c r="E61" s="44" t="n">
        <v>0</v>
      </c>
      <c r="F61" s="44" t="n">
        <v>0</v>
      </c>
      <c r="G61" s="45">
        <f>MIN(100, (SUM(E61:F61)))</f>
        <v/>
      </c>
      <c r="H61" s="44" t="n">
        <v>0</v>
      </c>
      <c r="I61" s="44" t="n">
        <v>0</v>
      </c>
      <c r="J61" s="45">
        <f>MIN(100,(SUM(H61:I61)))</f>
        <v/>
      </c>
      <c r="K61" s="44" t="n">
        <v>0</v>
      </c>
      <c r="L61" s="44" t="n">
        <v>0</v>
      </c>
      <c r="M61" s="45">
        <f>MIN(100,(SUM(K61:L61)))</f>
        <v/>
      </c>
      <c r="N61" s="44" t="n">
        <v>0</v>
      </c>
      <c r="O61" s="44" t="n">
        <v>0</v>
      </c>
      <c r="P61" s="46">
        <f>MIN(500, (SUM(G61,J61,M61,N61,O61)))</f>
        <v/>
      </c>
      <c r="Q61" s="47">
        <f>P61/500*100</f>
        <v/>
      </c>
      <c r="R61" s="48">
        <f>MIN(50, (ROUNDUP(SUM(Q61)/2,0)))</f>
        <v/>
      </c>
      <c r="S61" s="49" t="n">
        <v>0</v>
      </c>
      <c r="T61" s="48">
        <f>MIN(50, (ROUNDUP(SUM(S61)/2,0)))</f>
        <v/>
      </c>
      <c r="U61" s="50">
        <f>MIN(100, (SUM(R61,T61)))</f>
        <v/>
      </c>
      <c r="V61" s="51">
        <f>(U61/100)</f>
        <v/>
      </c>
      <c r="W61" s="52">
        <f>IF(U61&gt;=80,"4.0",IF(U61&gt;=70,"3.5",IF(U61&gt;=65,"3.0",IF(U61&gt;=60,"2.5",IF(U61&gt;=55,"2.0",IF(U61&gt;=50,"1.5",IF(U61&gt;=45,"1.0",IF(U61&gt;=40,"0.5",IF(U61&lt;40,"0.0")))))))))</f>
        <v/>
      </c>
      <c r="X61" s="53">
        <f>IF(U61&gt;=80,"A1",IF(U61&gt;=70,"B2",IF(U61&gt;=65,"B3",IF(U61&gt;=60,"C4",IF(U61&gt;=55,"C5",IF(U61&gt;=50,"C6",IF(U61&gt;=45,"D7",IF(U61&gt;=40,"E8",IF(U61&lt;40,"F9")))))))))</f>
        <v/>
      </c>
      <c r="Z61" s="71" t="n"/>
      <c r="AA61" s="71" t="n"/>
      <c r="AB61" s="71" t="n"/>
      <c r="AC61" s="71" t="n"/>
      <c r="AD61" s="71" t="n"/>
    </row>
    <row r="62">
      <c r="A62" s="41" t="n">
        <v>53</v>
      </c>
      <c r="B62" s="42" t="n"/>
      <c r="C62" s="77" t="n"/>
      <c r="D62" s="42" t="n"/>
      <c r="E62" s="44" t="n">
        <v>0</v>
      </c>
      <c r="F62" s="44" t="n">
        <v>0</v>
      </c>
      <c r="G62" s="45">
        <f>MIN(100, (SUM(E62:F62)))</f>
        <v/>
      </c>
      <c r="H62" s="44" t="n">
        <v>0</v>
      </c>
      <c r="I62" s="44" t="n">
        <v>0</v>
      </c>
      <c r="J62" s="45">
        <f>MIN(100,(SUM(H62:I62)))</f>
        <v/>
      </c>
      <c r="K62" s="44" t="n">
        <v>0</v>
      </c>
      <c r="L62" s="44" t="n">
        <v>0</v>
      </c>
      <c r="M62" s="45">
        <f>MIN(100,(SUM(K62:L62)))</f>
        <v/>
      </c>
      <c r="N62" s="44" t="n">
        <v>0</v>
      </c>
      <c r="O62" s="44" t="n">
        <v>0</v>
      </c>
      <c r="P62" s="46">
        <f>MIN(500, (SUM(G62,J62,M62,N62,O62)))</f>
        <v/>
      </c>
      <c r="Q62" s="47">
        <f>P62/500*100</f>
        <v/>
      </c>
      <c r="R62" s="48">
        <f>MIN(50, (ROUNDUP(SUM(Q62)/2,0)))</f>
        <v/>
      </c>
      <c r="S62" s="49" t="n">
        <v>0</v>
      </c>
      <c r="T62" s="48">
        <f>MIN(50, (ROUNDUP(SUM(S62)/2,0)))</f>
        <v/>
      </c>
      <c r="U62" s="50">
        <f>MIN(100, (SUM(R62,T62)))</f>
        <v/>
      </c>
      <c r="V62" s="51">
        <f>(U62/100)</f>
        <v/>
      </c>
      <c r="W62" s="52">
        <f>IF(U62&gt;=80,"4.0",IF(U62&gt;=70,"3.5",IF(U62&gt;=65,"3.0",IF(U62&gt;=60,"2.5",IF(U62&gt;=55,"2.0",IF(U62&gt;=50,"1.5",IF(U62&gt;=45,"1.0",IF(U62&gt;=40,"0.5",IF(U62&lt;40,"0.0")))))))))</f>
        <v/>
      </c>
      <c r="X62" s="53">
        <f>IF(U62&gt;=80,"A1",IF(U62&gt;=70,"B2",IF(U62&gt;=65,"B3",IF(U62&gt;=60,"C4",IF(U62&gt;=55,"C5",IF(U62&gt;=50,"C6",IF(U62&gt;=45,"D7",IF(U62&gt;=40,"E8",IF(U62&lt;40,"F9")))))))))</f>
        <v/>
      </c>
      <c r="Z62" s="71" t="n"/>
      <c r="AA62" s="71" t="n"/>
      <c r="AB62" s="71" t="n"/>
      <c r="AC62" s="71" t="n"/>
      <c r="AD62" s="71" t="n"/>
    </row>
    <row r="63">
      <c r="A63" s="41" t="n">
        <v>54</v>
      </c>
      <c r="B63" s="54" t="n"/>
      <c r="C63" s="55" t="n"/>
      <c r="D63" s="54" t="n"/>
      <c r="E63" s="44" t="n">
        <v>0</v>
      </c>
      <c r="F63" s="44" t="n">
        <v>0</v>
      </c>
      <c r="G63" s="45">
        <f>MIN(100, (SUM(E63:F63)))</f>
        <v/>
      </c>
      <c r="H63" s="44" t="n">
        <v>0</v>
      </c>
      <c r="I63" s="44" t="n">
        <v>0</v>
      </c>
      <c r="J63" s="45">
        <f>MIN(100,(SUM(H63:I63)))</f>
        <v/>
      </c>
      <c r="K63" s="44" t="n">
        <v>0</v>
      </c>
      <c r="L63" s="44" t="n">
        <v>0</v>
      </c>
      <c r="M63" s="45">
        <f>MIN(100,(SUM(K63:L63)))</f>
        <v/>
      </c>
      <c r="N63" s="44" t="n">
        <v>0</v>
      </c>
      <c r="O63" s="44" t="n">
        <v>0</v>
      </c>
      <c r="P63" s="46">
        <f>MIN(500, (SUM(G63,J63,M63,N63,O63)))</f>
        <v/>
      </c>
      <c r="Q63" s="47">
        <f>P63/500*100</f>
        <v/>
      </c>
      <c r="R63" s="48">
        <f>MIN(50, (ROUNDUP(SUM(Q63)/2,0)))</f>
        <v/>
      </c>
      <c r="S63" s="49" t="n">
        <v>0</v>
      </c>
      <c r="T63" s="48">
        <f>MIN(50, (ROUNDUP(SUM(S63)/2,0)))</f>
        <v/>
      </c>
      <c r="U63" s="50">
        <f>MIN(100, (SUM(R63,T63)))</f>
        <v/>
      </c>
      <c r="V63" s="51">
        <f>(U63/100)</f>
        <v/>
      </c>
      <c r="W63" s="52">
        <f>IF(U63&gt;=80,"4.0",IF(U63&gt;=70,"3.5",IF(U63&gt;=65,"3.0",IF(U63&gt;=60,"2.5",IF(U63&gt;=55,"2.0",IF(U63&gt;=50,"1.5",IF(U63&gt;=45,"1.0",IF(U63&gt;=40,"0.5",IF(U63&lt;40,"0.0")))))))))</f>
        <v/>
      </c>
      <c r="X63" s="53">
        <f>IF(U63&gt;=80,"A1",IF(U63&gt;=70,"B2",IF(U63&gt;=65,"B3",IF(U63&gt;=60,"C4",IF(U63&gt;=55,"C5",IF(U63&gt;=50,"C6",IF(U63&gt;=45,"D7",IF(U63&gt;=40,"E8",IF(U63&lt;40,"F9")))))))))</f>
        <v/>
      </c>
      <c r="Z63" s="71" t="n"/>
      <c r="AA63" s="71" t="n"/>
      <c r="AB63" s="71" t="n"/>
      <c r="AC63" s="71" t="n"/>
      <c r="AD63" s="71" t="n"/>
    </row>
    <row r="64">
      <c r="A64" s="41" t="n">
        <v>55</v>
      </c>
      <c r="B64" s="42" t="n"/>
      <c r="C64" s="55" t="n"/>
      <c r="D64" s="42" t="n"/>
      <c r="E64" s="44" t="n">
        <v>0</v>
      </c>
      <c r="F64" s="44" t="n">
        <v>0</v>
      </c>
      <c r="G64" s="45">
        <f>MIN(100, (SUM(E64:F64)))</f>
        <v/>
      </c>
      <c r="H64" s="44" t="n">
        <v>0</v>
      </c>
      <c r="I64" s="44" t="n">
        <v>0</v>
      </c>
      <c r="J64" s="45">
        <f>MIN(100,(SUM(H64:I64)))</f>
        <v/>
      </c>
      <c r="K64" s="44" t="n">
        <v>0</v>
      </c>
      <c r="L64" s="44" t="n">
        <v>0</v>
      </c>
      <c r="M64" s="45">
        <f>MIN(100,(SUM(K64:L64)))</f>
        <v/>
      </c>
      <c r="N64" s="44" t="n">
        <v>0</v>
      </c>
      <c r="O64" s="44" t="n">
        <v>0</v>
      </c>
      <c r="P64" s="46">
        <f>MIN(500, (SUM(G64,J64,M64,N64,O64)))</f>
        <v/>
      </c>
      <c r="Q64" s="47">
        <f>P64/500*100</f>
        <v/>
      </c>
      <c r="R64" s="48">
        <f>MIN(50, (ROUNDUP(SUM(Q64)/2,0)))</f>
        <v/>
      </c>
      <c r="S64" s="49" t="n">
        <v>0</v>
      </c>
      <c r="T64" s="48">
        <f>MIN(50, (ROUNDUP(SUM(S64)/2,0)))</f>
        <v/>
      </c>
      <c r="U64" s="50">
        <f>MIN(100, (SUM(R64,T64)))</f>
        <v/>
      </c>
      <c r="V64" s="51">
        <f>(U64/100)</f>
        <v/>
      </c>
      <c r="W64" s="52">
        <f>IF(U64&gt;=80,"4.0",IF(U64&gt;=70,"3.5",IF(U64&gt;=65,"3.0",IF(U64&gt;=60,"2.5",IF(U64&gt;=55,"2.0",IF(U64&gt;=50,"1.5",IF(U64&gt;=45,"1.0",IF(U64&gt;=40,"0.5",IF(U64&lt;40,"0.0")))))))))</f>
        <v/>
      </c>
      <c r="X64" s="53">
        <f>IF(U64&gt;=80,"A1",IF(U64&gt;=70,"B2",IF(U64&gt;=65,"B3",IF(U64&gt;=60,"C4",IF(U64&gt;=55,"C5",IF(U64&gt;=50,"C6",IF(U64&gt;=45,"D7",IF(U64&gt;=40,"E8",IF(U64&lt;40,"F9")))))))))</f>
        <v/>
      </c>
      <c r="Z64" s="71" t="n"/>
      <c r="AA64" s="71" t="n"/>
      <c r="AB64" s="71" t="n"/>
      <c r="AC64" s="71" t="n"/>
      <c r="AD64" s="71" t="n"/>
    </row>
    <row r="65">
      <c r="A65" s="41" t="n">
        <v>56</v>
      </c>
      <c r="B65" s="54" t="n"/>
      <c r="C65" s="55" t="n"/>
      <c r="D65" s="54" t="n"/>
      <c r="E65" s="44" t="n">
        <v>0</v>
      </c>
      <c r="F65" s="44" t="n">
        <v>0</v>
      </c>
      <c r="G65" s="45">
        <f>MIN(100, (SUM(E65:F65)))</f>
        <v/>
      </c>
      <c r="H65" s="44" t="n">
        <v>0</v>
      </c>
      <c r="I65" s="44" t="n">
        <v>0</v>
      </c>
      <c r="J65" s="45">
        <f>MIN(100,(SUM(H65:I65)))</f>
        <v/>
      </c>
      <c r="K65" s="44" t="n">
        <v>0</v>
      </c>
      <c r="L65" s="44" t="n">
        <v>0</v>
      </c>
      <c r="M65" s="45">
        <f>MIN(100,(SUM(K65:L65)))</f>
        <v/>
      </c>
      <c r="N65" s="44" t="n">
        <v>0</v>
      </c>
      <c r="O65" s="44" t="n">
        <v>0</v>
      </c>
      <c r="P65" s="46">
        <f>MIN(500, (SUM(G65,J65,M65,N65,O65)))</f>
        <v/>
      </c>
      <c r="Q65" s="47">
        <f>P65/500*100</f>
        <v/>
      </c>
      <c r="R65" s="48">
        <f>MIN(50, (ROUNDUP(SUM(Q65)/2,0)))</f>
        <v/>
      </c>
      <c r="S65" s="49" t="n">
        <v>0</v>
      </c>
      <c r="T65" s="48">
        <f>MIN(50, (ROUNDUP(SUM(S65)/2,0)))</f>
        <v/>
      </c>
      <c r="U65" s="50">
        <f>MIN(100, (SUM(R65,T65)))</f>
        <v/>
      </c>
      <c r="V65" s="51">
        <f>(U65/100)</f>
        <v/>
      </c>
      <c r="W65" s="52">
        <f>IF(U65&gt;=80,"4.0",IF(U65&gt;=70,"3.5",IF(U65&gt;=65,"3.0",IF(U65&gt;=60,"2.5",IF(U65&gt;=55,"2.0",IF(U65&gt;=50,"1.5",IF(U65&gt;=45,"1.0",IF(U65&gt;=40,"0.5",IF(U65&lt;40,"0.0")))))))))</f>
        <v/>
      </c>
      <c r="X65" s="53">
        <f>IF(U65&gt;=80,"A1",IF(U65&gt;=70,"B2",IF(U65&gt;=65,"B3",IF(U65&gt;=60,"C4",IF(U65&gt;=55,"C5",IF(U65&gt;=50,"C6",IF(U65&gt;=45,"D7",IF(U65&gt;=40,"E8",IF(U65&lt;40,"F9")))))))))</f>
        <v/>
      </c>
      <c r="Z65" s="71" t="n"/>
      <c r="AA65" s="71" t="n"/>
      <c r="AB65" s="71" t="n"/>
      <c r="AC65" s="71" t="n"/>
      <c r="AD65" s="71" t="n"/>
    </row>
    <row r="66">
      <c r="A66" s="41" t="n">
        <v>57</v>
      </c>
      <c r="B66" s="42" t="n"/>
      <c r="C66" s="55" t="n"/>
      <c r="D66" s="42" t="n"/>
      <c r="E66" s="44" t="n">
        <v>0</v>
      </c>
      <c r="F66" s="44" t="n">
        <v>0</v>
      </c>
      <c r="G66" s="45">
        <f>MIN(100, (SUM(E66:F66)))</f>
        <v/>
      </c>
      <c r="H66" s="44" t="n">
        <v>0</v>
      </c>
      <c r="I66" s="44" t="n">
        <v>0</v>
      </c>
      <c r="J66" s="45">
        <f>MIN(100,(SUM(H66:I66)))</f>
        <v/>
      </c>
      <c r="K66" s="44" t="n">
        <v>0</v>
      </c>
      <c r="L66" s="44" t="n">
        <v>0</v>
      </c>
      <c r="M66" s="45">
        <f>MIN(100,(SUM(K66:L66)))</f>
        <v/>
      </c>
      <c r="N66" s="44" t="n">
        <v>0</v>
      </c>
      <c r="O66" s="44" t="n">
        <v>0</v>
      </c>
      <c r="P66" s="46">
        <f>MIN(500, (SUM(G66,J66,M66,N66,O66)))</f>
        <v/>
      </c>
      <c r="Q66" s="47">
        <f>P66/500*100</f>
        <v/>
      </c>
      <c r="R66" s="48">
        <f>MIN(50, (ROUNDUP(SUM(Q66)/2,0)))</f>
        <v/>
      </c>
      <c r="S66" s="49" t="n">
        <v>0</v>
      </c>
      <c r="T66" s="48">
        <f>MIN(50, (ROUNDUP(SUM(S66)/2,0)))</f>
        <v/>
      </c>
      <c r="U66" s="50">
        <f>MIN(100, (SUM(R66,T66)))</f>
        <v/>
      </c>
      <c r="V66" s="51">
        <f>(U66/100)</f>
        <v/>
      </c>
      <c r="W66" s="52">
        <f>IF(U66&gt;=80,"4.0",IF(U66&gt;=70,"3.5",IF(U66&gt;=65,"3.0",IF(U66&gt;=60,"2.5",IF(U66&gt;=55,"2.0",IF(U66&gt;=50,"1.5",IF(U66&gt;=45,"1.0",IF(U66&gt;=40,"0.5",IF(U66&lt;40,"0.0")))))))))</f>
        <v/>
      </c>
      <c r="X66" s="53">
        <f>IF(U66&gt;=80,"A1",IF(U66&gt;=70,"B2",IF(U66&gt;=65,"B3",IF(U66&gt;=60,"C4",IF(U66&gt;=55,"C5",IF(U66&gt;=50,"C6",IF(U66&gt;=45,"D7",IF(U66&gt;=40,"E8",IF(U66&lt;40,"F9")))))))))</f>
        <v/>
      </c>
      <c r="Z66" s="71" t="n"/>
      <c r="AA66" s="71" t="n"/>
      <c r="AB66" s="71" t="n"/>
      <c r="AC66" s="71" t="n"/>
      <c r="AD66" s="71" t="n"/>
    </row>
    <row r="67">
      <c r="A67" s="41" t="n">
        <v>58</v>
      </c>
      <c r="B67" s="54" t="n"/>
      <c r="C67" s="55" t="n"/>
      <c r="D67" s="54" t="n"/>
      <c r="E67" s="44" t="n">
        <v>0</v>
      </c>
      <c r="F67" s="44" t="n">
        <v>0</v>
      </c>
      <c r="G67" s="45">
        <f>MIN(100, (SUM(E67:F67)))</f>
        <v/>
      </c>
      <c r="H67" s="44" t="n">
        <v>0</v>
      </c>
      <c r="I67" s="44" t="n">
        <v>0</v>
      </c>
      <c r="J67" s="45">
        <f>MIN(100,(SUM(H67:I67)))</f>
        <v/>
      </c>
      <c r="K67" s="44" t="n">
        <v>0</v>
      </c>
      <c r="L67" s="44" t="n">
        <v>0</v>
      </c>
      <c r="M67" s="45">
        <f>MIN(100,(SUM(K67:L67)))</f>
        <v/>
      </c>
      <c r="N67" s="44" t="n">
        <v>0</v>
      </c>
      <c r="O67" s="44" t="n">
        <v>0</v>
      </c>
      <c r="P67" s="46">
        <f>MIN(500, (SUM(G67,J67,M67,N67,O67)))</f>
        <v/>
      </c>
      <c r="Q67" s="47">
        <f>P67/500*100</f>
        <v/>
      </c>
      <c r="R67" s="48">
        <f>MIN(50, (ROUNDUP(SUM(Q67)/2,0)))</f>
        <v/>
      </c>
      <c r="S67" s="49" t="n">
        <v>0</v>
      </c>
      <c r="T67" s="48">
        <f>MIN(50, (ROUNDUP(SUM(S67)/2,0)))</f>
        <v/>
      </c>
      <c r="U67" s="50">
        <f>MIN(100, (SUM(R67,T67)))</f>
        <v/>
      </c>
      <c r="V67" s="51">
        <f>(U67/100)</f>
        <v/>
      </c>
      <c r="W67" s="52">
        <f>IF(U67&gt;=80,"4.0",IF(U67&gt;=70,"3.5",IF(U67&gt;=65,"3.0",IF(U67&gt;=60,"2.5",IF(U67&gt;=55,"2.0",IF(U67&gt;=50,"1.5",IF(U67&gt;=45,"1.0",IF(U67&gt;=40,"0.5",IF(U67&lt;40,"0.0")))))))))</f>
        <v/>
      </c>
      <c r="X67" s="53">
        <f>IF(U67&gt;=80,"A1",IF(U67&gt;=70,"B2",IF(U67&gt;=65,"B3",IF(U67&gt;=60,"C4",IF(U67&gt;=55,"C5",IF(U67&gt;=50,"C6",IF(U67&gt;=45,"D7",IF(U67&gt;=40,"E8",IF(U67&lt;40,"F9")))))))))</f>
        <v/>
      </c>
      <c r="Z67" s="71" t="n"/>
      <c r="AA67" s="71" t="n"/>
      <c r="AB67" s="71" t="n"/>
      <c r="AC67" s="71" t="n"/>
      <c r="AD67" s="71" t="n"/>
    </row>
    <row r="68">
      <c r="A68" s="41" t="n">
        <v>59</v>
      </c>
      <c r="B68" s="42" t="n"/>
      <c r="C68" s="55" t="n"/>
      <c r="D68" s="42" t="n"/>
      <c r="E68" s="44" t="n">
        <v>0</v>
      </c>
      <c r="F68" s="44" t="n">
        <v>0</v>
      </c>
      <c r="G68" s="45">
        <f>MIN(100, (SUM(E68:F68)))</f>
        <v/>
      </c>
      <c r="H68" s="44" t="n">
        <v>0</v>
      </c>
      <c r="I68" s="44" t="n">
        <v>0</v>
      </c>
      <c r="J68" s="45">
        <f>MIN(100,(SUM(H68:I68)))</f>
        <v/>
      </c>
      <c r="K68" s="44" t="n">
        <v>0</v>
      </c>
      <c r="L68" s="44" t="n">
        <v>0</v>
      </c>
      <c r="M68" s="45">
        <f>MIN(100,(SUM(K68:L68)))</f>
        <v/>
      </c>
      <c r="N68" s="44" t="n">
        <v>0</v>
      </c>
      <c r="O68" s="44" t="n">
        <v>0</v>
      </c>
      <c r="P68" s="46">
        <f>MIN(500, (SUM(G68,J68,M68,N68,O68)))</f>
        <v/>
      </c>
      <c r="Q68" s="47">
        <f>P68/500*100</f>
        <v/>
      </c>
      <c r="R68" s="48">
        <f>MIN(50, (ROUNDUP(SUM(Q68)/2,0)))</f>
        <v/>
      </c>
      <c r="S68" s="49" t="n">
        <v>0</v>
      </c>
      <c r="T68" s="48">
        <f>MIN(50, (ROUNDUP(SUM(S68)/2,0)))</f>
        <v/>
      </c>
      <c r="U68" s="50">
        <f>MIN(100, (SUM(R68,T68)))</f>
        <v/>
      </c>
      <c r="V68" s="51">
        <f>(U68/100)</f>
        <v/>
      </c>
      <c r="W68" s="52">
        <f>IF(U68&gt;=80,"4.0",IF(U68&gt;=70,"3.5",IF(U68&gt;=65,"3.0",IF(U68&gt;=60,"2.5",IF(U68&gt;=55,"2.0",IF(U68&gt;=50,"1.5",IF(U68&gt;=45,"1.0",IF(U68&gt;=40,"0.5",IF(U68&lt;40,"0.0")))))))))</f>
        <v/>
      </c>
      <c r="X68" s="53">
        <f>IF(U68&gt;=80,"A1",IF(U68&gt;=70,"B2",IF(U68&gt;=65,"B3",IF(U68&gt;=60,"C4",IF(U68&gt;=55,"C5",IF(U68&gt;=50,"C6",IF(U68&gt;=45,"D7",IF(U68&gt;=40,"E8",IF(U68&lt;40,"F9")))))))))</f>
        <v/>
      </c>
      <c r="Z68" s="71" t="n"/>
      <c r="AA68" s="71" t="n"/>
      <c r="AB68" s="71" t="n"/>
      <c r="AC68" s="71" t="n"/>
      <c r="AD68" s="71" t="n"/>
    </row>
    <row r="69">
      <c r="A69" s="41" t="n">
        <v>60</v>
      </c>
      <c r="B69" s="54" t="n"/>
      <c r="C69" s="55" t="n"/>
      <c r="D69" s="54" t="n"/>
      <c r="E69" s="44" t="n">
        <v>0</v>
      </c>
      <c r="F69" s="44" t="n">
        <v>0</v>
      </c>
      <c r="G69" s="45">
        <f>MIN(100, (SUM(E69:F69)))</f>
        <v/>
      </c>
      <c r="H69" s="44" t="n">
        <v>0</v>
      </c>
      <c r="I69" s="44" t="n">
        <v>0</v>
      </c>
      <c r="J69" s="45">
        <f>MIN(100,(SUM(H69:I69)))</f>
        <v/>
      </c>
      <c r="K69" s="44" t="n">
        <v>0</v>
      </c>
      <c r="L69" s="44" t="n">
        <v>0</v>
      </c>
      <c r="M69" s="45">
        <f>MIN(100,(SUM(K69:L69)))</f>
        <v/>
      </c>
      <c r="N69" s="44" t="n">
        <v>0</v>
      </c>
      <c r="O69" s="44" t="n">
        <v>0</v>
      </c>
      <c r="P69" s="46">
        <f>MIN(500, (SUM(G69,J69,M69,N69,O69)))</f>
        <v/>
      </c>
      <c r="Q69" s="47">
        <f>P69/500*100</f>
        <v/>
      </c>
      <c r="R69" s="48">
        <f>MIN(50, (ROUNDUP(SUM(Q69)/2,0)))</f>
        <v/>
      </c>
      <c r="S69" s="49" t="n">
        <v>0</v>
      </c>
      <c r="T69" s="48">
        <f>MIN(50, (ROUNDUP(SUM(S69)/2,0)))</f>
        <v/>
      </c>
      <c r="U69" s="50">
        <f>MIN(100, (SUM(R69,T69)))</f>
        <v/>
      </c>
      <c r="V69" s="51">
        <f>(U69/100)</f>
        <v/>
      </c>
      <c r="W69" s="52">
        <f>IF(U69&gt;=80,"4.0",IF(U69&gt;=70,"3.5",IF(U69&gt;=65,"3.0",IF(U69&gt;=60,"2.5",IF(U69&gt;=55,"2.0",IF(U69&gt;=50,"1.5",IF(U69&gt;=45,"1.0",IF(U69&gt;=40,"0.5",IF(U69&lt;40,"0.0")))))))))</f>
        <v/>
      </c>
      <c r="X69" s="53">
        <f>IF(U69&gt;=80,"A1",IF(U69&gt;=70,"B2",IF(U69&gt;=65,"B3",IF(U69&gt;=60,"C4",IF(U69&gt;=55,"C5",IF(U69&gt;=50,"C6",IF(U69&gt;=45,"D7",IF(U69&gt;=40,"E8",IF(U69&lt;40,"F9")))))))))</f>
        <v/>
      </c>
      <c r="Z69" s="71" t="n"/>
      <c r="AA69" s="71" t="n"/>
      <c r="AB69" s="71" t="n"/>
      <c r="AC69" s="71" t="n"/>
      <c r="AD69" s="71" t="n"/>
    </row>
    <row r="70">
      <c r="A70" s="41" t="n">
        <v>61</v>
      </c>
      <c r="B70" s="42" t="n"/>
      <c r="C70" s="55" t="n"/>
      <c r="D70" s="42" t="n"/>
      <c r="E70" s="44" t="n">
        <v>0</v>
      </c>
      <c r="F70" s="44" t="n">
        <v>0</v>
      </c>
      <c r="G70" s="45">
        <f>MIN(100, (SUM(E70:F70)))</f>
        <v/>
      </c>
      <c r="H70" s="44" t="n">
        <v>0</v>
      </c>
      <c r="I70" s="44" t="n">
        <v>0</v>
      </c>
      <c r="J70" s="45">
        <f>MIN(100,(SUM(H70:I70)))</f>
        <v/>
      </c>
      <c r="K70" s="44" t="n">
        <v>0</v>
      </c>
      <c r="L70" s="44" t="n">
        <v>0</v>
      </c>
      <c r="M70" s="45">
        <f>MIN(100,(SUM(K70:L70)))</f>
        <v/>
      </c>
      <c r="N70" s="44" t="n">
        <v>0</v>
      </c>
      <c r="O70" s="44" t="n">
        <v>0</v>
      </c>
      <c r="P70" s="46">
        <f>MIN(500, (SUM(G70,J70,M70,N70,O70)))</f>
        <v/>
      </c>
      <c r="Q70" s="47">
        <f>P70/500*100</f>
        <v/>
      </c>
      <c r="R70" s="48">
        <f>MIN(50, (ROUNDUP(SUM(Q70)/2,0)))</f>
        <v/>
      </c>
      <c r="S70" s="49" t="n">
        <v>0</v>
      </c>
      <c r="T70" s="48">
        <f>MIN(50, (ROUNDUP(SUM(S70)/2,0)))</f>
        <v/>
      </c>
      <c r="U70" s="50">
        <f>MIN(100, (SUM(R70,T70)))</f>
        <v/>
      </c>
      <c r="V70" s="51">
        <f>(U70/100)</f>
        <v/>
      </c>
      <c r="W70" s="52">
        <f>IF(U70&gt;=80,"4.0",IF(U70&gt;=70,"3.5",IF(U70&gt;=65,"3.0",IF(U70&gt;=60,"2.5",IF(U70&gt;=55,"2.0",IF(U70&gt;=50,"1.5",IF(U70&gt;=45,"1.0",IF(U70&gt;=40,"0.5",IF(U70&lt;40,"0.0")))))))))</f>
        <v/>
      </c>
      <c r="X70" s="53">
        <f>IF(U70&gt;=80,"A1",IF(U70&gt;=70,"B2",IF(U70&gt;=65,"B3",IF(U70&gt;=60,"C4",IF(U70&gt;=55,"C5",IF(U70&gt;=50,"C6",IF(U70&gt;=45,"D7",IF(U70&gt;=40,"E8",IF(U70&lt;40,"F9")))))))))</f>
        <v/>
      </c>
      <c r="Z70" s="71" t="n"/>
      <c r="AA70" s="71" t="n"/>
      <c r="AB70" s="71" t="n"/>
      <c r="AC70" s="71" t="n"/>
      <c r="AD70" s="71" t="n"/>
    </row>
    <row r="71">
      <c r="A71" s="41" t="n">
        <v>62</v>
      </c>
      <c r="B71" s="54" t="n"/>
      <c r="C71" s="77" t="n"/>
      <c r="D71" s="54" t="n"/>
      <c r="E71" s="44" t="n">
        <v>0</v>
      </c>
      <c r="F71" s="44" t="n">
        <v>0</v>
      </c>
      <c r="G71" s="45">
        <f>MIN(100, (SUM(E71:F71)))</f>
        <v/>
      </c>
      <c r="H71" s="44" t="n">
        <v>0</v>
      </c>
      <c r="I71" s="44" t="n">
        <v>0</v>
      </c>
      <c r="J71" s="45">
        <f>MIN(100,(SUM(H71:I71)))</f>
        <v/>
      </c>
      <c r="K71" s="44" t="n">
        <v>0</v>
      </c>
      <c r="L71" s="44" t="n">
        <v>0</v>
      </c>
      <c r="M71" s="45">
        <f>MIN(100,(SUM(K71:L71)))</f>
        <v/>
      </c>
      <c r="N71" s="44" t="n">
        <v>0</v>
      </c>
      <c r="O71" s="44" t="n">
        <v>0</v>
      </c>
      <c r="P71" s="46">
        <f>MIN(500, (SUM(G71,J71,M71,N71,O71)))</f>
        <v/>
      </c>
      <c r="Q71" s="47">
        <f>P71/500*100</f>
        <v/>
      </c>
      <c r="R71" s="48">
        <f>MIN(50, (ROUNDUP(SUM(Q71)/2,0)))</f>
        <v/>
      </c>
      <c r="S71" s="49" t="n">
        <v>0</v>
      </c>
      <c r="T71" s="48">
        <f>MIN(50, (ROUNDUP(SUM(S71)/2,0)))</f>
        <v/>
      </c>
      <c r="U71" s="50">
        <f>MIN(100, (SUM(R71,T71)))</f>
        <v/>
      </c>
      <c r="V71" s="51">
        <f>(U71/100)</f>
        <v/>
      </c>
      <c r="W71" s="52">
        <f>IF(U71&gt;=80,"4.0",IF(U71&gt;=70,"3.5",IF(U71&gt;=65,"3.0",IF(U71&gt;=60,"2.5",IF(U71&gt;=55,"2.0",IF(U71&gt;=50,"1.5",IF(U71&gt;=45,"1.0",IF(U71&gt;=40,"0.5",IF(U71&lt;40,"0.0")))))))))</f>
        <v/>
      </c>
      <c r="X71" s="53">
        <f>IF(U71&gt;=80,"A1",IF(U71&gt;=70,"B2",IF(U71&gt;=65,"B3",IF(U71&gt;=60,"C4",IF(U71&gt;=55,"C5",IF(U71&gt;=50,"C6",IF(U71&gt;=45,"D7",IF(U71&gt;=40,"E8",IF(U71&lt;40,"F9")))))))))</f>
        <v/>
      </c>
      <c r="Z71" s="71" t="n"/>
      <c r="AA71" s="71" t="n"/>
      <c r="AB71" s="71" t="n"/>
      <c r="AC71" s="71" t="n"/>
      <c r="AD71" s="71" t="n"/>
    </row>
    <row r="72">
      <c r="A72" s="41" t="n">
        <v>63</v>
      </c>
      <c r="B72" s="42" t="n"/>
      <c r="C72" s="55" t="n"/>
      <c r="D72" s="42" t="n"/>
      <c r="E72" s="44" t="n">
        <v>0</v>
      </c>
      <c r="F72" s="44" t="n">
        <v>0</v>
      </c>
      <c r="G72" s="45">
        <f>MIN(100, (SUM(E72:F72)))</f>
        <v/>
      </c>
      <c r="H72" s="44" t="n">
        <v>0</v>
      </c>
      <c r="I72" s="44" t="n">
        <v>0</v>
      </c>
      <c r="J72" s="45">
        <f>MIN(100,(SUM(H72:I72)))</f>
        <v/>
      </c>
      <c r="K72" s="44" t="n">
        <v>0</v>
      </c>
      <c r="L72" s="44" t="n">
        <v>0</v>
      </c>
      <c r="M72" s="45">
        <f>MIN(100,(SUM(K72:L72)))</f>
        <v/>
      </c>
      <c r="N72" s="44" t="n">
        <v>0</v>
      </c>
      <c r="O72" s="44" t="n">
        <v>0</v>
      </c>
      <c r="P72" s="46">
        <f>MIN(500, (SUM(G72,J72,M72,N72,O72)))</f>
        <v/>
      </c>
      <c r="Q72" s="47">
        <f>P72/500*100</f>
        <v/>
      </c>
      <c r="R72" s="48">
        <f>MIN(50, (ROUNDUP(SUM(Q72)/2,0)))</f>
        <v/>
      </c>
      <c r="S72" s="49" t="n">
        <v>0</v>
      </c>
      <c r="T72" s="48">
        <f>MIN(50, (ROUNDUP(SUM(S72)/2,0)))</f>
        <v/>
      </c>
      <c r="U72" s="50">
        <f>MIN(100, (SUM(R72,T72)))</f>
        <v/>
      </c>
      <c r="V72" s="51">
        <f>(U72/100)</f>
        <v/>
      </c>
      <c r="W72" s="52">
        <f>IF(U72&gt;=80,"4.0",IF(U72&gt;=70,"3.5",IF(U72&gt;=65,"3.0",IF(U72&gt;=60,"2.5",IF(U72&gt;=55,"2.0",IF(U72&gt;=50,"1.5",IF(U72&gt;=45,"1.0",IF(U72&gt;=40,"0.5",IF(U72&lt;40,"0.0")))))))))</f>
        <v/>
      </c>
      <c r="X72" s="53">
        <f>IF(U72&gt;=80,"A1",IF(U72&gt;=70,"B2",IF(U72&gt;=65,"B3",IF(U72&gt;=60,"C4",IF(U72&gt;=55,"C5",IF(U72&gt;=50,"C6",IF(U72&gt;=45,"D7",IF(U72&gt;=40,"E8",IF(U72&lt;40,"F9")))))))))</f>
        <v/>
      </c>
      <c r="Z72" s="71" t="n"/>
      <c r="AA72" s="71" t="n"/>
      <c r="AB72" s="71" t="n"/>
      <c r="AC72" s="71" t="n"/>
      <c r="AD72" s="71" t="n"/>
    </row>
    <row r="73">
      <c r="A73" s="41" t="n">
        <v>64</v>
      </c>
      <c r="B73" s="54" t="n"/>
      <c r="C73" s="55" t="n"/>
      <c r="D73" s="54" t="n"/>
      <c r="E73" s="44" t="n">
        <v>0</v>
      </c>
      <c r="F73" s="44" t="n">
        <v>0</v>
      </c>
      <c r="G73" s="45">
        <f>MIN(100, (SUM(E73:F73)))</f>
        <v/>
      </c>
      <c r="H73" s="44" t="n">
        <v>0</v>
      </c>
      <c r="I73" s="44" t="n">
        <v>0</v>
      </c>
      <c r="J73" s="45">
        <f>MIN(100,(SUM(H73:I73)))</f>
        <v/>
      </c>
      <c r="K73" s="44" t="n">
        <v>0</v>
      </c>
      <c r="L73" s="44" t="n">
        <v>0</v>
      </c>
      <c r="M73" s="45">
        <f>MIN(100,(SUM(K73:L73)))</f>
        <v/>
      </c>
      <c r="N73" s="44" t="n">
        <v>0</v>
      </c>
      <c r="O73" s="44" t="n">
        <v>0</v>
      </c>
      <c r="P73" s="46">
        <f>MIN(500, (SUM(G73,J73,M73,N73,O73)))</f>
        <v/>
      </c>
      <c r="Q73" s="47">
        <f>P73/500*100</f>
        <v/>
      </c>
      <c r="R73" s="48">
        <f>MIN(50, (ROUNDUP(SUM(Q73)/2,0)))</f>
        <v/>
      </c>
      <c r="S73" s="49" t="n">
        <v>0</v>
      </c>
      <c r="T73" s="48">
        <f>MIN(50, (ROUNDUP(SUM(S73)/2,0)))</f>
        <v/>
      </c>
      <c r="U73" s="50">
        <f>MIN(100, (SUM(R73,T73)))</f>
        <v/>
      </c>
      <c r="V73" s="51">
        <f>(U73/100)</f>
        <v/>
      </c>
      <c r="W73" s="52">
        <f>IF(U73&gt;=80,"4.0",IF(U73&gt;=70,"3.5",IF(U73&gt;=65,"3.0",IF(U73&gt;=60,"2.5",IF(U73&gt;=55,"2.0",IF(U73&gt;=50,"1.5",IF(U73&gt;=45,"1.0",IF(U73&gt;=40,"0.5",IF(U73&lt;40,"0.0")))))))))</f>
        <v/>
      </c>
      <c r="X73" s="53">
        <f>IF(U73&gt;=80,"A1",IF(U73&gt;=70,"B2",IF(U73&gt;=65,"B3",IF(U73&gt;=60,"C4",IF(U73&gt;=55,"C5",IF(U73&gt;=50,"C6",IF(U73&gt;=45,"D7",IF(U73&gt;=40,"E8",IF(U73&lt;40,"F9")))))))))</f>
        <v/>
      </c>
      <c r="Z73" s="71" t="n"/>
      <c r="AA73" s="71" t="n"/>
      <c r="AB73" s="71" t="n"/>
      <c r="AC73" s="71" t="n"/>
      <c r="AD73" s="71" t="n"/>
    </row>
    <row r="74">
      <c r="A74" s="41" t="n">
        <v>65</v>
      </c>
      <c r="B74" s="42" t="n"/>
      <c r="C74" s="55" t="n"/>
      <c r="D74" s="42" t="n"/>
      <c r="E74" s="44" t="n">
        <v>0</v>
      </c>
      <c r="F74" s="44" t="n">
        <v>0</v>
      </c>
      <c r="G74" s="45">
        <f>MIN(100, (SUM(E74:F74)))</f>
        <v/>
      </c>
      <c r="H74" s="44" t="n">
        <v>0</v>
      </c>
      <c r="I74" s="44" t="n">
        <v>0</v>
      </c>
      <c r="J74" s="45">
        <f>MIN(100,(SUM(H74:I74)))</f>
        <v/>
      </c>
      <c r="K74" s="44" t="n">
        <v>0</v>
      </c>
      <c r="L74" s="44" t="n">
        <v>0</v>
      </c>
      <c r="M74" s="45">
        <f>MIN(100,(SUM(K74:L74)))</f>
        <v/>
      </c>
      <c r="N74" s="44" t="n">
        <v>0</v>
      </c>
      <c r="O74" s="44" t="n">
        <v>0</v>
      </c>
      <c r="P74" s="46">
        <f>MIN(500, (SUM(G74,J74,M74,N74,O74)))</f>
        <v/>
      </c>
      <c r="Q74" s="47">
        <f>P74/500*100</f>
        <v/>
      </c>
      <c r="R74" s="48">
        <f>MIN(50, (ROUNDUP(SUM(Q74)/2,0)))</f>
        <v/>
      </c>
      <c r="S74" s="49" t="n">
        <v>0</v>
      </c>
      <c r="T74" s="48">
        <f>MIN(50, (ROUNDUP(SUM(S74)/2,0)))</f>
        <v/>
      </c>
      <c r="U74" s="50">
        <f>MIN(100, (SUM(R74,T74)))</f>
        <v/>
      </c>
      <c r="V74" s="51">
        <f>(U74/100)</f>
        <v/>
      </c>
      <c r="W74" s="52">
        <f>IF(U74&gt;=80,"4.0",IF(U74&gt;=70,"3.5",IF(U74&gt;=65,"3.0",IF(U74&gt;=60,"2.5",IF(U74&gt;=55,"2.0",IF(U74&gt;=50,"1.5",IF(U74&gt;=45,"1.0",IF(U74&gt;=40,"0.5",IF(U74&lt;40,"0.0")))))))))</f>
        <v/>
      </c>
      <c r="X74" s="53">
        <f>IF(U74&gt;=80,"A1",IF(U74&gt;=70,"B2",IF(U74&gt;=65,"B3",IF(U74&gt;=60,"C4",IF(U74&gt;=55,"C5",IF(U74&gt;=50,"C6",IF(U74&gt;=45,"D7",IF(U74&gt;=40,"E8",IF(U74&lt;40,"F9")))))))))</f>
        <v/>
      </c>
      <c r="Z74" s="71" t="n"/>
      <c r="AA74" s="71" t="n"/>
      <c r="AB74" s="71" t="n"/>
      <c r="AC74" s="71" t="n"/>
      <c r="AD74" s="71" t="n"/>
    </row>
    <row r="75">
      <c r="A75" s="41" t="n">
        <v>66</v>
      </c>
      <c r="B75" s="54" t="n"/>
      <c r="C75" s="55" t="n"/>
      <c r="D75" s="54" t="n"/>
      <c r="E75" s="44" t="n">
        <v>0</v>
      </c>
      <c r="F75" s="44" t="n">
        <v>0</v>
      </c>
      <c r="G75" s="45">
        <f>MIN(100, (SUM(E75:F75)))</f>
        <v/>
      </c>
      <c r="H75" s="44" t="n">
        <v>0</v>
      </c>
      <c r="I75" s="44" t="n">
        <v>0</v>
      </c>
      <c r="J75" s="45">
        <f>MIN(100,(SUM(H75:I75)))</f>
        <v/>
      </c>
      <c r="K75" s="44" t="n">
        <v>0</v>
      </c>
      <c r="L75" s="44" t="n">
        <v>0</v>
      </c>
      <c r="M75" s="45">
        <f>MIN(100,(SUM(K75:L75)))</f>
        <v/>
      </c>
      <c r="N75" s="44" t="n">
        <v>0</v>
      </c>
      <c r="O75" s="44" t="n">
        <v>0</v>
      </c>
      <c r="P75" s="46">
        <f>MIN(500, (SUM(G75,J75,M75,N75,O75)))</f>
        <v/>
      </c>
      <c r="Q75" s="47">
        <f>P75/500*100</f>
        <v/>
      </c>
      <c r="R75" s="48">
        <f>MIN(50, (ROUNDUP(SUM(Q75)/2,0)))</f>
        <v/>
      </c>
      <c r="S75" s="49" t="n">
        <v>0</v>
      </c>
      <c r="T75" s="48">
        <f>MIN(50, (ROUNDUP(SUM(S75)/2,0)))</f>
        <v/>
      </c>
      <c r="U75" s="50">
        <f>MIN(100, (SUM(R75,T75)))</f>
        <v/>
      </c>
      <c r="V75" s="51">
        <f>(U75/100)</f>
        <v/>
      </c>
      <c r="W75" s="52">
        <f>IF(U75&gt;=80,"4.0",IF(U75&gt;=70,"3.5",IF(U75&gt;=65,"3.0",IF(U75&gt;=60,"2.5",IF(U75&gt;=55,"2.0",IF(U75&gt;=50,"1.5",IF(U75&gt;=45,"1.0",IF(U75&gt;=40,"0.5",IF(U75&lt;40,"0.0")))))))))</f>
        <v/>
      </c>
      <c r="X75" s="53">
        <f>IF(U75&gt;=80,"A1",IF(U75&gt;=70,"B2",IF(U75&gt;=65,"B3",IF(U75&gt;=60,"C4",IF(U75&gt;=55,"C5",IF(U75&gt;=50,"C6",IF(U75&gt;=45,"D7",IF(U75&gt;=40,"E8",IF(U75&lt;40,"F9")))))))))</f>
        <v/>
      </c>
      <c r="Z75" s="71" t="n"/>
      <c r="AA75" s="71" t="n"/>
      <c r="AB75" s="71" t="n"/>
      <c r="AC75" s="71" t="n"/>
      <c r="AD75" s="71" t="n"/>
    </row>
    <row r="76">
      <c r="A76" s="41" t="n">
        <v>67</v>
      </c>
      <c r="B76" s="42" t="n"/>
      <c r="C76" s="55" t="n"/>
      <c r="D76" s="42" t="n"/>
      <c r="E76" s="44" t="n">
        <v>0</v>
      </c>
      <c r="F76" s="44" t="n">
        <v>0</v>
      </c>
      <c r="G76" s="45">
        <f>MIN(100, (SUM(E76:F76)))</f>
        <v/>
      </c>
      <c r="H76" s="44" t="n">
        <v>0</v>
      </c>
      <c r="I76" s="44" t="n">
        <v>0</v>
      </c>
      <c r="J76" s="45">
        <f>MIN(100,(SUM(H76:I76)))</f>
        <v/>
      </c>
      <c r="K76" s="44" t="n">
        <v>0</v>
      </c>
      <c r="L76" s="44" t="n">
        <v>0</v>
      </c>
      <c r="M76" s="45">
        <f>MIN(100,(SUM(K76:L76)))</f>
        <v/>
      </c>
      <c r="N76" s="44" t="n">
        <v>0</v>
      </c>
      <c r="O76" s="44" t="n">
        <v>0</v>
      </c>
      <c r="P76" s="46">
        <f>MIN(500, (SUM(G76,J76,M76,N76,O76)))</f>
        <v/>
      </c>
      <c r="Q76" s="47">
        <f>P76/500*100</f>
        <v/>
      </c>
      <c r="R76" s="48">
        <f>MIN(50, (ROUNDUP(SUM(Q76)/2,0)))</f>
        <v/>
      </c>
      <c r="S76" s="49" t="n">
        <v>0</v>
      </c>
      <c r="T76" s="48">
        <f>MIN(50, (ROUNDUP(SUM(S76)/2,0)))</f>
        <v/>
      </c>
      <c r="U76" s="50">
        <f>MIN(100, (SUM(R76,T76)))</f>
        <v/>
      </c>
      <c r="V76" s="51">
        <f>(U76/100)</f>
        <v/>
      </c>
      <c r="W76" s="52">
        <f>IF(U76&gt;=80,"4.0",IF(U76&gt;=70,"3.5",IF(U76&gt;=65,"3.0",IF(U76&gt;=60,"2.5",IF(U76&gt;=55,"2.0",IF(U76&gt;=50,"1.5",IF(U76&gt;=45,"1.0",IF(U76&gt;=40,"0.5",IF(U76&lt;40,"0.0")))))))))</f>
        <v/>
      </c>
      <c r="X76" s="53">
        <f>IF(U76&gt;=80,"A1",IF(U76&gt;=70,"B2",IF(U76&gt;=65,"B3",IF(U76&gt;=60,"C4",IF(U76&gt;=55,"C5",IF(U76&gt;=50,"C6",IF(U76&gt;=45,"D7",IF(U76&gt;=40,"E8",IF(U76&lt;40,"F9")))))))))</f>
        <v/>
      </c>
      <c r="Z76" s="71" t="n"/>
      <c r="AA76" s="71" t="n"/>
      <c r="AB76" s="71" t="n"/>
      <c r="AC76" s="71" t="n"/>
      <c r="AD76" s="71" t="n"/>
    </row>
    <row r="77">
      <c r="A77" s="41" t="n">
        <v>68</v>
      </c>
      <c r="B77" s="54" t="n"/>
      <c r="C77" s="55" t="n"/>
      <c r="D77" s="54" t="n"/>
      <c r="E77" s="44" t="n">
        <v>0</v>
      </c>
      <c r="F77" s="44" t="n">
        <v>0</v>
      </c>
      <c r="G77" s="45">
        <f>MIN(100, (SUM(E77:F77)))</f>
        <v/>
      </c>
      <c r="H77" s="44" t="n">
        <v>0</v>
      </c>
      <c r="I77" s="44" t="n">
        <v>0</v>
      </c>
      <c r="J77" s="45">
        <f>MIN(100,(SUM(H77:I77)))</f>
        <v/>
      </c>
      <c r="K77" s="44" t="n">
        <v>0</v>
      </c>
      <c r="L77" s="44" t="n">
        <v>0</v>
      </c>
      <c r="M77" s="45">
        <f>MIN(100,(SUM(K77:L77)))</f>
        <v/>
      </c>
      <c r="N77" s="44" t="n">
        <v>0</v>
      </c>
      <c r="O77" s="44" t="n">
        <v>0</v>
      </c>
      <c r="P77" s="46">
        <f>MIN(500, (SUM(G77,J77,M77,N77,O77)))</f>
        <v/>
      </c>
      <c r="Q77" s="47">
        <f>P77/500*100</f>
        <v/>
      </c>
      <c r="R77" s="48">
        <f>MIN(50, (ROUNDUP(SUM(Q77)/2,0)))</f>
        <v/>
      </c>
      <c r="S77" s="49" t="n">
        <v>0</v>
      </c>
      <c r="T77" s="48">
        <f>MIN(50, (ROUNDUP(SUM(S77)/2,0)))</f>
        <v/>
      </c>
      <c r="U77" s="50">
        <f>MIN(100, (SUM(R77,T77)))</f>
        <v/>
      </c>
      <c r="V77" s="51">
        <f>(U77/100)</f>
        <v/>
      </c>
      <c r="W77" s="52">
        <f>IF(U77&gt;=80,"4.0",IF(U77&gt;=70,"3.5",IF(U77&gt;=65,"3.0",IF(U77&gt;=60,"2.5",IF(U77&gt;=55,"2.0",IF(U77&gt;=50,"1.5",IF(U77&gt;=45,"1.0",IF(U77&gt;=40,"0.5",IF(U77&lt;40,"0.0")))))))))</f>
        <v/>
      </c>
      <c r="X77" s="53">
        <f>IF(U77&gt;=80,"A1",IF(U77&gt;=70,"B2",IF(U77&gt;=65,"B3",IF(U77&gt;=60,"C4",IF(U77&gt;=55,"C5",IF(U77&gt;=50,"C6",IF(U77&gt;=45,"D7",IF(U77&gt;=40,"E8",IF(U77&lt;40,"F9")))))))))</f>
        <v/>
      </c>
      <c r="Z77" s="71" t="n"/>
      <c r="AA77" s="71" t="n"/>
      <c r="AB77" s="71" t="n"/>
      <c r="AC77" s="71" t="n"/>
      <c r="AD77" s="71" t="n"/>
    </row>
    <row r="78">
      <c r="A78" s="41" t="n">
        <v>69</v>
      </c>
      <c r="B78" s="42" t="n"/>
      <c r="C78" s="55" t="n"/>
      <c r="D78" s="42" t="n"/>
      <c r="E78" s="44" t="n">
        <v>0</v>
      </c>
      <c r="F78" s="44" t="n">
        <v>0</v>
      </c>
      <c r="G78" s="45">
        <f>MIN(100, (SUM(E78:F78)))</f>
        <v/>
      </c>
      <c r="H78" s="44" t="n">
        <v>0</v>
      </c>
      <c r="I78" s="44" t="n">
        <v>0</v>
      </c>
      <c r="J78" s="45">
        <f>MIN(100,(SUM(H78:I78)))</f>
        <v/>
      </c>
      <c r="K78" s="44" t="n">
        <v>0</v>
      </c>
      <c r="L78" s="44" t="n">
        <v>0</v>
      </c>
      <c r="M78" s="45">
        <f>MIN(100,(SUM(K78:L78)))</f>
        <v/>
      </c>
      <c r="N78" s="44" t="n">
        <v>0</v>
      </c>
      <c r="O78" s="44" t="n">
        <v>0</v>
      </c>
      <c r="P78" s="46">
        <f>MIN(500, (SUM(G78,J78,M78,N78,O78)))</f>
        <v/>
      </c>
      <c r="Q78" s="47">
        <f>P78/500*100</f>
        <v/>
      </c>
      <c r="R78" s="48">
        <f>MIN(50, (ROUNDUP(SUM(Q78)/2,0)))</f>
        <v/>
      </c>
      <c r="S78" s="49" t="n">
        <v>0</v>
      </c>
      <c r="T78" s="48">
        <f>MIN(50, (ROUNDUP(SUM(S78)/2,0)))</f>
        <v/>
      </c>
      <c r="U78" s="50">
        <f>MIN(100, (SUM(R78,T78)))</f>
        <v/>
      </c>
      <c r="V78" s="51">
        <f>(U78/100)</f>
        <v/>
      </c>
      <c r="W78" s="52">
        <f>IF(U78&gt;=80,"4.0",IF(U78&gt;=70,"3.5",IF(U78&gt;=65,"3.0",IF(U78&gt;=60,"2.5",IF(U78&gt;=55,"2.0",IF(U78&gt;=50,"1.5",IF(U78&gt;=45,"1.0",IF(U78&gt;=40,"0.5",IF(U78&lt;40,"0.0")))))))))</f>
        <v/>
      </c>
      <c r="X78" s="53">
        <f>IF(U78&gt;=80,"A1",IF(U78&gt;=70,"B2",IF(U78&gt;=65,"B3",IF(U78&gt;=60,"C4",IF(U78&gt;=55,"C5",IF(U78&gt;=50,"C6",IF(U78&gt;=45,"D7",IF(U78&gt;=40,"E8",IF(U78&lt;40,"F9")))))))))</f>
        <v/>
      </c>
      <c r="Z78" s="71" t="n"/>
      <c r="AA78" s="71" t="n"/>
      <c r="AB78" s="71" t="n"/>
      <c r="AC78" s="71" t="n"/>
      <c r="AD78" s="71" t="n"/>
    </row>
    <row r="79">
      <c r="A79" s="41" t="n">
        <v>70</v>
      </c>
      <c r="B79" s="54" t="n"/>
      <c r="C79" s="55" t="n"/>
      <c r="D79" s="54" t="n"/>
      <c r="E79" s="44" t="n">
        <v>0</v>
      </c>
      <c r="F79" s="44" t="n">
        <v>0</v>
      </c>
      <c r="G79" s="45">
        <f>MIN(100, (SUM(E79:F79)))</f>
        <v/>
      </c>
      <c r="H79" s="44" t="n">
        <v>0</v>
      </c>
      <c r="I79" s="44" t="n">
        <v>0</v>
      </c>
      <c r="J79" s="45">
        <f>MIN(100,(SUM(H79:I79)))</f>
        <v/>
      </c>
      <c r="K79" s="44" t="n">
        <v>0</v>
      </c>
      <c r="L79" s="44" t="n">
        <v>0</v>
      </c>
      <c r="M79" s="45">
        <f>MIN(100,(SUM(K79:L79)))</f>
        <v/>
      </c>
      <c r="N79" s="44" t="n">
        <v>0</v>
      </c>
      <c r="O79" s="44" t="n">
        <v>0</v>
      </c>
      <c r="P79" s="46">
        <f>MIN(500, (SUM(G79,J79,M79,N79,O79)))</f>
        <v/>
      </c>
      <c r="Q79" s="47">
        <f>P79/500*100</f>
        <v/>
      </c>
      <c r="R79" s="48">
        <f>MIN(50, (ROUNDUP(SUM(Q79)/2,0)))</f>
        <v/>
      </c>
      <c r="S79" s="49" t="n">
        <v>0</v>
      </c>
      <c r="T79" s="48">
        <f>MIN(50, (ROUNDUP(SUM(S79)/2,0)))</f>
        <v/>
      </c>
      <c r="U79" s="50">
        <f>MIN(100, (SUM(R79,T79)))</f>
        <v/>
      </c>
      <c r="V79" s="51">
        <f>(U79/100)</f>
        <v/>
      </c>
      <c r="W79" s="52">
        <f>IF(U79&gt;=80,"4.0",IF(U79&gt;=70,"3.5",IF(U79&gt;=65,"3.0",IF(U79&gt;=60,"2.5",IF(U79&gt;=55,"2.0",IF(U79&gt;=50,"1.5",IF(U79&gt;=45,"1.0",IF(U79&gt;=40,"0.5",IF(U79&lt;40,"0.0")))))))))</f>
        <v/>
      </c>
      <c r="X79" s="53">
        <f>IF(U79&gt;=80,"A1",IF(U79&gt;=70,"B2",IF(U79&gt;=65,"B3",IF(U79&gt;=60,"C4",IF(U79&gt;=55,"C5",IF(U79&gt;=50,"C6",IF(U79&gt;=45,"D7",IF(U79&gt;=40,"E8",IF(U79&lt;40,"F9")))))))))</f>
        <v/>
      </c>
      <c r="Z79" s="71" t="n"/>
      <c r="AA79" s="71" t="n"/>
      <c r="AB79" s="71" t="n"/>
      <c r="AC79" s="71" t="n"/>
      <c r="AD79" s="71" t="n"/>
    </row>
    <row r="80">
      <c r="A80" s="41" t="n">
        <v>71</v>
      </c>
      <c r="B80" s="42" t="n"/>
      <c r="C80" s="55" t="n"/>
      <c r="D80" s="42" t="n"/>
      <c r="E80" s="44" t="n">
        <v>0</v>
      </c>
      <c r="F80" s="44" t="n">
        <v>0</v>
      </c>
      <c r="G80" s="45">
        <f>MIN(100, (SUM(E80:F80)))</f>
        <v/>
      </c>
      <c r="H80" s="44" t="n">
        <v>0</v>
      </c>
      <c r="I80" s="44" t="n">
        <v>0</v>
      </c>
      <c r="J80" s="45">
        <f>MIN(100,(SUM(H80:I80)))</f>
        <v/>
      </c>
      <c r="K80" s="44" t="n">
        <v>0</v>
      </c>
      <c r="L80" s="44" t="n">
        <v>0</v>
      </c>
      <c r="M80" s="45">
        <f>MIN(100,(SUM(K80:L80)))</f>
        <v/>
      </c>
      <c r="N80" s="44" t="n">
        <v>0</v>
      </c>
      <c r="O80" s="44" t="n">
        <v>0</v>
      </c>
      <c r="P80" s="46">
        <f>MIN(500, (SUM(G80,J80,M80,N80,O80)))</f>
        <v/>
      </c>
      <c r="Q80" s="47">
        <f>P80/500*100</f>
        <v/>
      </c>
      <c r="R80" s="48">
        <f>MIN(50, (ROUNDUP(SUM(Q80)/2,0)))</f>
        <v/>
      </c>
      <c r="S80" s="49" t="n">
        <v>0</v>
      </c>
      <c r="T80" s="48">
        <f>MIN(50, (ROUNDUP(SUM(S80)/2,0)))</f>
        <v/>
      </c>
      <c r="U80" s="50">
        <f>MIN(100, (SUM(R80,T80)))</f>
        <v/>
      </c>
      <c r="V80" s="51">
        <f>(U80/100)</f>
        <v/>
      </c>
      <c r="W80" s="52">
        <f>IF(U80&gt;=80,"4.0",IF(U80&gt;=70,"3.5",IF(U80&gt;=65,"3.0",IF(U80&gt;=60,"2.5",IF(U80&gt;=55,"2.0",IF(U80&gt;=50,"1.5",IF(U80&gt;=45,"1.0",IF(U80&gt;=40,"0.5",IF(U80&lt;40,"0.0")))))))))</f>
        <v/>
      </c>
      <c r="X80" s="53">
        <f>IF(U80&gt;=80,"A1",IF(U80&gt;=70,"B2",IF(U80&gt;=65,"B3",IF(U80&gt;=60,"C4",IF(U80&gt;=55,"C5",IF(U80&gt;=50,"C6",IF(U80&gt;=45,"D7",IF(U80&gt;=40,"E8",IF(U80&lt;40,"F9")))))))))</f>
        <v/>
      </c>
      <c r="Z80" s="71" t="n"/>
      <c r="AA80" s="71" t="n"/>
      <c r="AB80" s="71" t="n"/>
      <c r="AC80" s="71" t="n"/>
      <c r="AD80" s="71" t="n"/>
    </row>
    <row r="81">
      <c r="A81" s="41" t="n">
        <v>72</v>
      </c>
      <c r="B81" s="54" t="n"/>
      <c r="C81" s="55" t="n"/>
      <c r="D81" s="54" t="n"/>
      <c r="E81" s="44" t="n">
        <v>0</v>
      </c>
      <c r="F81" s="44" t="n">
        <v>0</v>
      </c>
      <c r="G81" s="45">
        <f>MIN(100, (SUM(E81:F81)))</f>
        <v/>
      </c>
      <c r="H81" s="44" t="n">
        <v>0</v>
      </c>
      <c r="I81" s="44" t="n">
        <v>0</v>
      </c>
      <c r="J81" s="45">
        <f>MIN(100,(SUM(H81:I81)))</f>
        <v/>
      </c>
      <c r="K81" s="44" t="n">
        <v>0</v>
      </c>
      <c r="L81" s="44" t="n">
        <v>0</v>
      </c>
      <c r="M81" s="45">
        <f>MIN(100,(SUM(K81:L81)))</f>
        <v/>
      </c>
      <c r="N81" s="44" t="n">
        <v>0</v>
      </c>
      <c r="O81" s="44" t="n">
        <v>0</v>
      </c>
      <c r="P81" s="46">
        <f>MIN(500, (SUM(G81,J81,M81,N81,O81)))</f>
        <v/>
      </c>
      <c r="Q81" s="47">
        <f>P81/500*100</f>
        <v/>
      </c>
      <c r="R81" s="48">
        <f>MIN(50, (ROUNDUP(SUM(Q81)/2,0)))</f>
        <v/>
      </c>
      <c r="S81" s="49" t="n">
        <v>0</v>
      </c>
      <c r="T81" s="48">
        <f>MIN(50, (ROUNDUP(SUM(S81)/2,0)))</f>
        <v/>
      </c>
      <c r="U81" s="50">
        <f>MIN(100, (SUM(R81,T81)))</f>
        <v/>
      </c>
      <c r="V81" s="51">
        <f>(U81/100)</f>
        <v/>
      </c>
      <c r="W81" s="52">
        <f>IF(U81&gt;=80,"4.0",IF(U81&gt;=70,"3.5",IF(U81&gt;=65,"3.0",IF(U81&gt;=60,"2.5",IF(U81&gt;=55,"2.0",IF(U81&gt;=50,"1.5",IF(U81&gt;=45,"1.0",IF(U81&gt;=40,"0.5",IF(U81&lt;40,"0.0")))))))))</f>
        <v/>
      </c>
      <c r="X81" s="53">
        <f>IF(U81&gt;=80,"A1",IF(U81&gt;=70,"B2",IF(U81&gt;=65,"B3",IF(U81&gt;=60,"C4",IF(U81&gt;=55,"C5",IF(U81&gt;=50,"C6",IF(U81&gt;=45,"D7",IF(U81&gt;=40,"E8",IF(U81&lt;40,"F9")))))))))</f>
        <v/>
      </c>
      <c r="Z81" s="71" t="n"/>
      <c r="AA81" s="71" t="n"/>
      <c r="AB81" s="71" t="n"/>
      <c r="AC81" s="71" t="n"/>
      <c r="AD81" s="71" t="n"/>
    </row>
    <row r="82">
      <c r="A82" s="41" t="n">
        <v>73</v>
      </c>
      <c r="B82" s="42" t="n"/>
      <c r="C82" s="55" t="n"/>
      <c r="D82" s="42" t="n"/>
      <c r="E82" s="44" t="n">
        <v>0</v>
      </c>
      <c r="F82" s="44" t="n">
        <v>0</v>
      </c>
      <c r="G82" s="45">
        <f>MIN(100, (SUM(E82:F82)))</f>
        <v/>
      </c>
      <c r="H82" s="44" t="n">
        <v>0</v>
      </c>
      <c r="I82" s="44" t="n">
        <v>0</v>
      </c>
      <c r="J82" s="45">
        <f>MIN(100,(SUM(H82:I82)))</f>
        <v/>
      </c>
      <c r="K82" s="44" t="n">
        <v>0</v>
      </c>
      <c r="L82" s="44" t="n">
        <v>0</v>
      </c>
      <c r="M82" s="45">
        <f>MIN(100,(SUM(K82:L82)))</f>
        <v/>
      </c>
      <c r="N82" s="44" t="n">
        <v>0</v>
      </c>
      <c r="O82" s="44" t="n">
        <v>0</v>
      </c>
      <c r="P82" s="46">
        <f>MIN(500, (SUM(G82,J82,M82,N82,O82)))</f>
        <v/>
      </c>
      <c r="Q82" s="47">
        <f>P82/500*100</f>
        <v/>
      </c>
      <c r="R82" s="48">
        <f>MIN(50, (ROUNDUP(SUM(Q82)/2,0)))</f>
        <v/>
      </c>
      <c r="S82" s="49" t="n">
        <v>0</v>
      </c>
      <c r="T82" s="48">
        <f>MIN(50, (ROUNDUP(SUM(S82)/2,0)))</f>
        <v/>
      </c>
      <c r="U82" s="50">
        <f>MIN(100, (SUM(R82,T82)))</f>
        <v/>
      </c>
      <c r="V82" s="51">
        <f>(U82/100)</f>
        <v/>
      </c>
      <c r="W82" s="52">
        <f>IF(U82&gt;=80,"4.0",IF(U82&gt;=70,"3.5",IF(U82&gt;=65,"3.0",IF(U82&gt;=60,"2.5",IF(U82&gt;=55,"2.0",IF(U82&gt;=50,"1.5",IF(U82&gt;=45,"1.0",IF(U82&gt;=40,"0.5",IF(U82&lt;40,"0.0")))))))))</f>
        <v/>
      </c>
      <c r="X82" s="53">
        <f>IF(U82&gt;=80,"A1",IF(U82&gt;=70,"B2",IF(U82&gt;=65,"B3",IF(U82&gt;=60,"C4",IF(U82&gt;=55,"C5",IF(U82&gt;=50,"C6",IF(U82&gt;=45,"D7",IF(U82&gt;=40,"E8",IF(U82&lt;40,"F9")))))))))</f>
        <v/>
      </c>
      <c r="Z82" s="71" t="n"/>
      <c r="AA82" s="71" t="n"/>
      <c r="AB82" s="71" t="n"/>
      <c r="AC82" s="71" t="n"/>
      <c r="AD82" s="71" t="n"/>
    </row>
    <row r="83" ht="15.75" customHeight="1">
      <c r="A83" s="41" t="n">
        <v>74</v>
      </c>
      <c r="B83" s="78" t="n"/>
      <c r="C83" s="55" t="n"/>
      <c r="D83" s="79" t="n"/>
      <c r="E83" s="44" t="n">
        <v>0</v>
      </c>
      <c r="F83" s="44" t="n">
        <v>0</v>
      </c>
      <c r="G83" s="45">
        <f>MIN(100, (SUM(E83:F83)))</f>
        <v/>
      </c>
      <c r="H83" s="44" t="n">
        <v>0</v>
      </c>
      <c r="I83" s="44" t="n">
        <v>0</v>
      </c>
      <c r="J83" s="45">
        <f>MIN(100,(SUM(H83:I83)))</f>
        <v/>
      </c>
      <c r="K83" s="44" t="n">
        <v>0</v>
      </c>
      <c r="L83" s="44" t="n">
        <v>0</v>
      </c>
      <c r="M83" s="45">
        <f>MIN(100,(SUM(K83:L83)))</f>
        <v/>
      </c>
      <c r="N83" s="44" t="n">
        <v>0</v>
      </c>
      <c r="O83" s="44" t="n">
        <v>0</v>
      </c>
      <c r="P83" s="46">
        <f>MIN(500, (SUM(G83,J83,M83,N83,O83)))</f>
        <v/>
      </c>
      <c r="Q83" s="47">
        <f>P83/500*100</f>
        <v/>
      </c>
      <c r="R83" s="48">
        <f>MIN(50, (ROUNDUP(SUM(Q83)/2,0)))</f>
        <v/>
      </c>
      <c r="S83" s="49" t="n">
        <v>0</v>
      </c>
      <c r="T83" s="48">
        <f>MIN(50, (ROUNDUP(SUM(S83)/2,0)))</f>
        <v/>
      </c>
      <c r="U83" s="50">
        <f>MIN(100, (SUM(R83,T83)))</f>
        <v/>
      </c>
      <c r="V83" s="51">
        <f>(U83/100)</f>
        <v/>
      </c>
      <c r="W83" s="52">
        <f>IF(U83&gt;=80,"4.0",IF(U83&gt;=70,"3.5",IF(U83&gt;=65,"3.0",IF(U83&gt;=60,"2.5",IF(U83&gt;=55,"2.0",IF(U83&gt;=50,"1.5",IF(U83&gt;=45,"1.0",IF(U83&gt;=40,"0.5",IF(U83&lt;40,"0.0")))))))))</f>
        <v/>
      </c>
      <c r="X83" s="53">
        <f>IF(U83&gt;=80,"A1",IF(U83&gt;=70,"B2",IF(U83&gt;=65,"B3",IF(U83&gt;=60,"C4",IF(U83&gt;=55,"C5",IF(U83&gt;=50,"C6",IF(U83&gt;=45,"D7",IF(U83&gt;=40,"E8",IF(U83&lt;40,"F9")))))))))</f>
        <v/>
      </c>
      <c r="Z83" s="71" t="n"/>
      <c r="AA83" s="71" t="n"/>
      <c r="AB83" s="71" t="n"/>
      <c r="AC83" s="71" t="n"/>
      <c r="AD83" s="71" t="n"/>
    </row>
    <row r="84" ht="15.75" customHeight="1">
      <c r="A84" s="41" t="n">
        <v>75</v>
      </c>
      <c r="B84" s="78" t="n"/>
      <c r="C84" s="55" t="n"/>
      <c r="D84" s="79" t="n"/>
      <c r="E84" s="44" t="n">
        <v>0</v>
      </c>
      <c r="F84" s="44" t="n">
        <v>0</v>
      </c>
      <c r="G84" s="45">
        <f>MIN(100, (SUM(E84:F84)))</f>
        <v/>
      </c>
      <c r="H84" s="44" t="n">
        <v>0</v>
      </c>
      <c r="I84" s="44" t="n">
        <v>0</v>
      </c>
      <c r="J84" s="45">
        <f>MIN(100,(SUM(H84:I84)))</f>
        <v/>
      </c>
      <c r="K84" s="44" t="n">
        <v>0</v>
      </c>
      <c r="L84" s="44" t="n">
        <v>0</v>
      </c>
      <c r="M84" s="45">
        <f>MIN(100,(SUM(K84:L84)))</f>
        <v/>
      </c>
      <c r="N84" s="44" t="n">
        <v>0</v>
      </c>
      <c r="O84" s="44" t="n">
        <v>0</v>
      </c>
      <c r="P84" s="46">
        <f>MIN(500, (SUM(G84,J84,M84,N84,O84)))</f>
        <v/>
      </c>
      <c r="Q84" s="47">
        <f>P84/500*100</f>
        <v/>
      </c>
      <c r="R84" s="48">
        <f>MIN(50, (ROUNDUP(SUM(Q84)/2,0)))</f>
        <v/>
      </c>
      <c r="S84" s="49" t="n">
        <v>0</v>
      </c>
      <c r="T84" s="48">
        <f>MIN(50, (ROUNDUP(SUM(S84)/2,0)))</f>
        <v/>
      </c>
      <c r="U84" s="50">
        <f>MIN(100, (SUM(R84,T84)))</f>
        <v/>
      </c>
      <c r="V84" s="51">
        <f>(U84/100)</f>
        <v/>
      </c>
      <c r="W84" s="52">
        <f>IF(U84&gt;=80,"4.0",IF(U84&gt;=70,"3.5",IF(U84&gt;=65,"3.0",IF(U84&gt;=60,"2.5",IF(U84&gt;=55,"2.0",IF(U84&gt;=50,"1.5",IF(U84&gt;=45,"1.0",IF(U84&gt;=40,"0.5",IF(U84&lt;40,"0.0")))))))))</f>
        <v/>
      </c>
      <c r="X84" s="53">
        <f>IF(U84&gt;=80,"A1",IF(U84&gt;=70,"B2",IF(U84&gt;=65,"B3",IF(U84&gt;=60,"C4",IF(U84&gt;=55,"C5",IF(U84&gt;=50,"C6",IF(U84&gt;=45,"D7",IF(U84&gt;=40,"E8",IF(U84&lt;40,"F9")))))))))</f>
        <v/>
      </c>
      <c r="Z84" s="71" t="n"/>
      <c r="AA84" s="71" t="n"/>
      <c r="AB84" s="71" t="n"/>
      <c r="AC84" s="71" t="n"/>
      <c r="AD84" s="71" t="n"/>
    </row>
    <row r="85" ht="15.75" customHeight="1">
      <c r="A85" s="41" t="n">
        <v>76</v>
      </c>
      <c r="B85" s="78" t="n"/>
      <c r="C85" s="55" t="n"/>
      <c r="D85" s="79" t="n"/>
      <c r="E85" s="44" t="n">
        <v>0</v>
      </c>
      <c r="F85" s="44" t="n">
        <v>0</v>
      </c>
      <c r="G85" s="45">
        <f>MIN(100, (SUM(E85:F85)))</f>
        <v/>
      </c>
      <c r="H85" s="44" t="n">
        <v>0</v>
      </c>
      <c r="I85" s="44" t="n">
        <v>0</v>
      </c>
      <c r="J85" s="45">
        <f>MIN(100,(SUM(H85:I85)))</f>
        <v/>
      </c>
      <c r="K85" s="44" t="n">
        <v>0</v>
      </c>
      <c r="L85" s="44" t="n">
        <v>0</v>
      </c>
      <c r="M85" s="45">
        <f>MIN(100,(SUM(K85:L85)))</f>
        <v/>
      </c>
      <c r="N85" s="44" t="n">
        <v>0</v>
      </c>
      <c r="O85" s="44" t="n">
        <v>0</v>
      </c>
      <c r="P85" s="46">
        <f>MIN(500, (SUM(G85,J85,M85,N85,O85)))</f>
        <v/>
      </c>
      <c r="Q85" s="47">
        <f>P85/500*100</f>
        <v/>
      </c>
      <c r="R85" s="48">
        <f>MIN(50, (ROUNDUP(SUM(Q85)/2,0)))</f>
        <v/>
      </c>
      <c r="S85" s="49" t="n">
        <v>0</v>
      </c>
      <c r="T85" s="48">
        <f>MIN(50, (ROUNDUP(SUM(S85)/2,0)))</f>
        <v/>
      </c>
      <c r="U85" s="50">
        <f>MIN(100, (SUM(R85,T85)))</f>
        <v/>
      </c>
      <c r="V85" s="51">
        <f>(U85/100)</f>
        <v/>
      </c>
      <c r="W85" s="52">
        <f>IF(U85&gt;=80,"4.0",IF(U85&gt;=70,"3.5",IF(U85&gt;=65,"3.0",IF(U85&gt;=60,"2.5",IF(U85&gt;=55,"2.0",IF(U85&gt;=50,"1.5",IF(U85&gt;=45,"1.0",IF(U85&gt;=40,"0.5",IF(U85&lt;40,"0.0")))))))))</f>
        <v/>
      </c>
      <c r="X85" s="53">
        <f>IF(U85&gt;=80,"A1",IF(U85&gt;=70,"B2",IF(U85&gt;=65,"B3",IF(U85&gt;=60,"C4",IF(U85&gt;=55,"C5",IF(U85&gt;=50,"C6",IF(U85&gt;=45,"D7",IF(U85&gt;=40,"E8",IF(U85&lt;40,"F9")))))))))</f>
        <v/>
      </c>
      <c r="Z85" s="71" t="n"/>
      <c r="AA85" s="71" t="n"/>
      <c r="AB85" s="71" t="n"/>
      <c r="AC85" s="71" t="n"/>
      <c r="AD85" s="71" t="n"/>
    </row>
    <row r="86" ht="15.75" customHeight="1">
      <c r="A86" s="41" t="n">
        <v>77</v>
      </c>
      <c r="B86" s="78" t="n"/>
      <c r="C86" s="55" t="n"/>
      <c r="D86" s="79" t="n"/>
      <c r="E86" s="44" t="n">
        <v>0</v>
      </c>
      <c r="F86" s="44" t="n">
        <v>0</v>
      </c>
      <c r="G86" s="45">
        <f>MIN(100, (SUM(E86:F86)))</f>
        <v/>
      </c>
      <c r="H86" s="44" t="n">
        <v>0</v>
      </c>
      <c r="I86" s="44" t="n">
        <v>0</v>
      </c>
      <c r="J86" s="45">
        <f>MIN(100,(SUM(H86:I86)))</f>
        <v/>
      </c>
      <c r="K86" s="44" t="n">
        <v>0</v>
      </c>
      <c r="L86" s="44" t="n">
        <v>0</v>
      </c>
      <c r="M86" s="45">
        <f>MIN(100,(SUM(K86:L86)))</f>
        <v/>
      </c>
      <c r="N86" s="44" t="n">
        <v>0</v>
      </c>
      <c r="O86" s="44" t="n">
        <v>0</v>
      </c>
      <c r="P86" s="46">
        <f>MIN(500, (SUM(G86,J86,M86,N86,O86)))</f>
        <v/>
      </c>
      <c r="Q86" s="47">
        <f>P86/500*100</f>
        <v/>
      </c>
      <c r="R86" s="48">
        <f>MIN(50, (ROUNDUP(SUM(Q86)/2,0)))</f>
        <v/>
      </c>
      <c r="S86" s="49" t="n">
        <v>0</v>
      </c>
      <c r="T86" s="48">
        <f>MIN(50, (ROUNDUP(SUM(S86)/2,0)))</f>
        <v/>
      </c>
      <c r="U86" s="50">
        <f>MIN(100, (SUM(R86,T86)))</f>
        <v/>
      </c>
      <c r="V86" s="51">
        <f>(U86/100)</f>
        <v/>
      </c>
      <c r="W86" s="52">
        <f>IF(U86&gt;=80,"4.0",IF(U86&gt;=70,"3.5",IF(U86&gt;=65,"3.0",IF(U86&gt;=60,"2.5",IF(U86&gt;=55,"2.0",IF(U86&gt;=50,"1.5",IF(U86&gt;=45,"1.0",IF(U86&gt;=40,"0.5",IF(U86&lt;40,"0.0")))))))))</f>
        <v/>
      </c>
      <c r="X86" s="53">
        <f>IF(U86&gt;=80,"A1",IF(U86&gt;=70,"B2",IF(U86&gt;=65,"B3",IF(U86&gt;=60,"C4",IF(U86&gt;=55,"C5",IF(U86&gt;=50,"C6",IF(U86&gt;=45,"D7",IF(U86&gt;=40,"E8",IF(U86&lt;40,"F9")))))))))</f>
        <v/>
      </c>
      <c r="Z86" s="71" t="n"/>
      <c r="AA86" s="71" t="n"/>
      <c r="AB86" s="71" t="n"/>
      <c r="AC86" s="71" t="n"/>
      <c r="AD86" s="71" t="n"/>
    </row>
    <row r="87" ht="15.75" customHeight="1">
      <c r="A87" s="41" t="n">
        <v>78</v>
      </c>
      <c r="B87" s="78" t="n"/>
      <c r="C87" s="55" t="n"/>
      <c r="D87" s="79" t="n"/>
      <c r="E87" s="44" t="n">
        <v>0</v>
      </c>
      <c r="F87" s="44" t="n">
        <v>0</v>
      </c>
      <c r="G87" s="45">
        <f>MIN(100, (SUM(E87:F87)))</f>
        <v/>
      </c>
      <c r="H87" s="44" t="n">
        <v>0</v>
      </c>
      <c r="I87" s="44" t="n">
        <v>0</v>
      </c>
      <c r="J87" s="45">
        <f>MIN(100,(SUM(H87:I87)))</f>
        <v/>
      </c>
      <c r="K87" s="44" t="n">
        <v>0</v>
      </c>
      <c r="L87" s="44" t="n">
        <v>0</v>
      </c>
      <c r="M87" s="45">
        <f>MIN(100,(SUM(K87:L87)))</f>
        <v/>
      </c>
      <c r="N87" s="44" t="n">
        <v>0</v>
      </c>
      <c r="O87" s="44" t="n">
        <v>0</v>
      </c>
      <c r="P87" s="46">
        <f>MIN(500, (SUM(G87,J87,M87,N87,O87)))</f>
        <v/>
      </c>
      <c r="Q87" s="47">
        <f>P87/500*100</f>
        <v/>
      </c>
      <c r="R87" s="48">
        <f>MIN(50, (ROUNDUP(SUM(Q87)/2,0)))</f>
        <v/>
      </c>
      <c r="S87" s="49" t="n">
        <v>0</v>
      </c>
      <c r="T87" s="48">
        <f>MIN(50, (ROUNDUP(SUM(S87)/2,0)))</f>
        <v/>
      </c>
      <c r="U87" s="50">
        <f>MIN(100, (SUM(R87,T87)))</f>
        <v/>
      </c>
      <c r="V87" s="51">
        <f>(U87/100)</f>
        <v/>
      </c>
      <c r="W87" s="52">
        <f>IF(U87&gt;=80,"4.0",IF(U87&gt;=70,"3.5",IF(U87&gt;=65,"3.0",IF(U87&gt;=60,"2.5",IF(U87&gt;=55,"2.0",IF(U87&gt;=50,"1.5",IF(U87&gt;=45,"1.0",IF(U87&gt;=40,"0.5",IF(U87&lt;40,"0.0")))))))))</f>
        <v/>
      </c>
      <c r="X87" s="53">
        <f>IF(U87&gt;=80,"A1",IF(U87&gt;=70,"B2",IF(U87&gt;=65,"B3",IF(U87&gt;=60,"C4",IF(U87&gt;=55,"C5",IF(U87&gt;=50,"C6",IF(U87&gt;=45,"D7",IF(U87&gt;=40,"E8",IF(U87&lt;40,"F9")))))))))</f>
        <v/>
      </c>
      <c r="Z87" s="71" t="n"/>
      <c r="AA87" s="71" t="n"/>
      <c r="AB87" s="71" t="n"/>
      <c r="AC87" s="71" t="n"/>
      <c r="AD87" s="71" t="n"/>
    </row>
    <row r="88" ht="15.75" customHeight="1">
      <c r="A88" s="41" t="n">
        <v>79</v>
      </c>
      <c r="B88" s="80" t="n"/>
      <c r="C88" s="55" t="n"/>
      <c r="D88" s="81" t="n"/>
      <c r="E88" s="44" t="n">
        <v>0</v>
      </c>
      <c r="F88" s="44" t="n">
        <v>0</v>
      </c>
      <c r="G88" s="45">
        <f>MIN(100, (SUM(E88:F88)))</f>
        <v/>
      </c>
      <c r="H88" s="44" t="n">
        <v>0</v>
      </c>
      <c r="I88" s="44" t="n">
        <v>0</v>
      </c>
      <c r="J88" s="45">
        <f>MIN(100,(SUM(H88:I88)))</f>
        <v/>
      </c>
      <c r="K88" s="44" t="n">
        <v>0</v>
      </c>
      <c r="L88" s="44" t="n">
        <v>0</v>
      </c>
      <c r="M88" s="45">
        <f>MIN(100,(SUM(K88:L88)))</f>
        <v/>
      </c>
      <c r="N88" s="44" t="n">
        <v>0</v>
      </c>
      <c r="O88" s="44" t="n">
        <v>0</v>
      </c>
      <c r="P88" s="46">
        <f>MIN(500, (SUM(G88,J88,M88,N88,O88)))</f>
        <v/>
      </c>
      <c r="Q88" s="47">
        <f>P88/500*100</f>
        <v/>
      </c>
      <c r="R88" s="48">
        <f>MIN(50, (ROUNDUP(SUM(Q88)/2,0)))</f>
        <v/>
      </c>
      <c r="S88" s="49" t="n">
        <v>0</v>
      </c>
      <c r="T88" s="48">
        <f>MIN(50, (ROUNDUP(SUM(S88)/2,0)))</f>
        <v/>
      </c>
      <c r="U88" s="50">
        <f>MIN(100, (SUM(R88,T88)))</f>
        <v/>
      </c>
      <c r="V88" s="51">
        <f>(U88/100)</f>
        <v/>
      </c>
      <c r="W88" s="52">
        <f>IF(U88&gt;=80,"4.0",IF(U88&gt;=70,"3.5",IF(U88&gt;=65,"3.0",IF(U88&gt;=60,"2.5",IF(U88&gt;=55,"2.0",IF(U88&gt;=50,"1.5",IF(U88&gt;=45,"1.0",IF(U88&gt;=40,"0.5",IF(U88&lt;40,"0.0")))))))))</f>
        <v/>
      </c>
      <c r="X88" s="53">
        <f>IF(U88&gt;=80,"A1",IF(U88&gt;=70,"B2",IF(U88&gt;=65,"B3",IF(U88&gt;=60,"C4",IF(U88&gt;=55,"C5",IF(U88&gt;=50,"C6",IF(U88&gt;=45,"D7",IF(U88&gt;=40,"E8",IF(U88&lt;40,"F9")))))))))</f>
        <v/>
      </c>
      <c r="Z88" s="71" t="n"/>
      <c r="AA88" s="71" t="n"/>
      <c r="AB88" s="71" t="n"/>
      <c r="AC88" s="71" t="n"/>
      <c r="AD88" s="71" t="n"/>
    </row>
    <row r="89" ht="15.75" customHeight="1">
      <c r="A89" s="41" t="n">
        <v>80</v>
      </c>
      <c r="B89" s="80" t="n"/>
      <c r="C89" s="55" t="n"/>
      <c r="D89" s="81" t="n"/>
      <c r="E89" s="44" t="n">
        <v>0</v>
      </c>
      <c r="F89" s="44" t="n">
        <v>0</v>
      </c>
      <c r="G89" s="45">
        <f>MIN(100, (SUM(E89:F89)))</f>
        <v/>
      </c>
      <c r="H89" s="44" t="n">
        <v>0</v>
      </c>
      <c r="I89" s="44" t="n">
        <v>0</v>
      </c>
      <c r="J89" s="45">
        <f>MIN(100,(SUM(H89:I89)))</f>
        <v/>
      </c>
      <c r="K89" s="44" t="n">
        <v>0</v>
      </c>
      <c r="L89" s="44" t="n">
        <v>0</v>
      </c>
      <c r="M89" s="45">
        <f>MIN(100,(SUM(K89:L89)))</f>
        <v/>
      </c>
      <c r="N89" s="44" t="n">
        <v>0</v>
      </c>
      <c r="O89" s="44" t="n">
        <v>0</v>
      </c>
      <c r="P89" s="46">
        <f>MIN(500, (SUM(G89,J89,M89,N89,O89)))</f>
        <v/>
      </c>
      <c r="Q89" s="47">
        <f>P89/500*100</f>
        <v/>
      </c>
      <c r="R89" s="48">
        <f>MIN(50, (ROUNDUP(SUM(Q89)/2,0)))</f>
        <v/>
      </c>
      <c r="S89" s="49" t="n">
        <v>0</v>
      </c>
      <c r="T89" s="48">
        <f>MIN(50, (ROUNDUP(SUM(S89)/2,0)))</f>
        <v/>
      </c>
      <c r="U89" s="50">
        <f>MIN(100, (SUM(R89,T89)))</f>
        <v/>
      </c>
      <c r="V89" s="51">
        <f>(U89/100)</f>
        <v/>
      </c>
      <c r="W89" s="52">
        <f>IF(U89&gt;=80,"4.0",IF(U89&gt;=70,"3.5",IF(U89&gt;=65,"3.0",IF(U89&gt;=60,"2.5",IF(U89&gt;=55,"2.0",IF(U89&gt;=50,"1.5",IF(U89&gt;=45,"1.0",IF(U89&gt;=40,"0.5",IF(U89&lt;40,"0.0")))))))))</f>
        <v/>
      </c>
      <c r="X89" s="53">
        <f>IF(U89&gt;=80,"A1",IF(U89&gt;=70,"B2",IF(U89&gt;=65,"B3",IF(U89&gt;=60,"C4",IF(U89&gt;=55,"C5",IF(U89&gt;=50,"C6",IF(U89&gt;=45,"D7",IF(U89&gt;=40,"E8",IF(U89&lt;40,"F9")))))))))</f>
        <v/>
      </c>
      <c r="Z89" s="71" t="n"/>
      <c r="AA89" s="71" t="n"/>
      <c r="AB89" s="71" t="n"/>
      <c r="AC89" s="71" t="n"/>
      <c r="AD89" s="71" t="n"/>
    </row>
    <row r="90" ht="15.75" customHeight="1">
      <c r="A90" s="41" t="n">
        <v>81</v>
      </c>
      <c r="B90" s="82" t="n"/>
      <c r="C90" s="55" t="n"/>
      <c r="D90" s="83" t="n"/>
      <c r="E90" s="44" t="n">
        <v>0</v>
      </c>
      <c r="F90" s="44" t="n">
        <v>0</v>
      </c>
      <c r="G90" s="45">
        <f>MIN(100, (SUM(E90:F90)))</f>
        <v/>
      </c>
      <c r="H90" s="44" t="n">
        <v>0</v>
      </c>
      <c r="I90" s="44" t="n">
        <v>0</v>
      </c>
      <c r="J90" s="45">
        <f>MIN(100,(SUM(H90:I90)))</f>
        <v/>
      </c>
      <c r="K90" s="44" t="n">
        <v>0</v>
      </c>
      <c r="L90" s="44" t="n">
        <v>0</v>
      </c>
      <c r="M90" s="45">
        <f>MIN(100,(SUM(K90:L90)))</f>
        <v/>
      </c>
      <c r="N90" s="44" t="n">
        <v>0</v>
      </c>
      <c r="O90" s="44" t="n">
        <v>0</v>
      </c>
      <c r="P90" s="46">
        <f>MIN(500, (SUM(G90,J90,M90,N90,O90)))</f>
        <v/>
      </c>
      <c r="Q90" s="47">
        <f>P90/500*100</f>
        <v/>
      </c>
      <c r="R90" s="48">
        <f>MIN(50, (ROUNDUP(SUM(Q90)/2,0)))</f>
        <v/>
      </c>
      <c r="S90" s="49" t="n">
        <v>0</v>
      </c>
      <c r="T90" s="48">
        <f>MIN(50, (ROUNDUP(SUM(S90)/2,0)))</f>
        <v/>
      </c>
      <c r="U90" s="50">
        <f>MIN(100, (SUM(R90,T90)))</f>
        <v/>
      </c>
      <c r="V90" s="51">
        <f>(U90/100)</f>
        <v/>
      </c>
      <c r="W90" s="52">
        <f>IF(U90&gt;=80,"4.0",IF(U90&gt;=70,"3.5",IF(U90&gt;=65,"3.0",IF(U90&gt;=60,"2.5",IF(U90&gt;=55,"2.0",IF(U90&gt;=50,"1.5",IF(U90&gt;=45,"1.0",IF(U90&gt;=40,"0.5",IF(U90&lt;40,"0.0")))))))))</f>
        <v/>
      </c>
      <c r="X90" s="53">
        <f>IF(U90&gt;=80,"A1",IF(U90&gt;=70,"B2",IF(U90&gt;=65,"B3",IF(U90&gt;=60,"C4",IF(U90&gt;=55,"C5",IF(U90&gt;=50,"C6",IF(U90&gt;=45,"D7",IF(U90&gt;=40,"E8",IF(U90&lt;40,"F9")))))))))</f>
        <v/>
      </c>
      <c r="Z90" s="71" t="n"/>
      <c r="AA90" s="71" t="n"/>
      <c r="AB90" s="71" t="n"/>
      <c r="AC90" s="71" t="n"/>
      <c r="AD90" s="71" t="n"/>
    </row>
    <row r="91" ht="15.75" customHeight="1">
      <c r="A91" s="41" t="n">
        <v>82</v>
      </c>
      <c r="B91" s="82" t="n"/>
      <c r="C91" s="84" t="n"/>
      <c r="D91" s="83" t="n"/>
      <c r="E91" s="44" t="n">
        <v>0</v>
      </c>
      <c r="F91" s="44" t="n">
        <v>0</v>
      </c>
      <c r="G91" s="45">
        <f>MIN(100, (SUM(E91:F91)))</f>
        <v/>
      </c>
      <c r="H91" s="44" t="n">
        <v>0</v>
      </c>
      <c r="I91" s="44" t="n">
        <v>0</v>
      </c>
      <c r="J91" s="45">
        <f>MIN(100,(SUM(H91:I91)))</f>
        <v/>
      </c>
      <c r="K91" s="44" t="n">
        <v>0</v>
      </c>
      <c r="L91" s="44" t="n">
        <v>0</v>
      </c>
      <c r="M91" s="45">
        <f>MIN(100,(SUM(K91:L91)))</f>
        <v/>
      </c>
      <c r="N91" s="44" t="n">
        <v>0</v>
      </c>
      <c r="O91" s="44" t="n">
        <v>0</v>
      </c>
      <c r="P91" s="46">
        <f>MIN(500, (SUM(G91,J91,M91,N91,O91)))</f>
        <v/>
      </c>
      <c r="Q91" s="47">
        <f>P91/500*100</f>
        <v/>
      </c>
      <c r="R91" s="48">
        <f>MIN(50, (ROUNDUP(SUM(Q91)/2,0)))</f>
        <v/>
      </c>
      <c r="S91" s="49" t="n">
        <v>0</v>
      </c>
      <c r="T91" s="48">
        <f>MIN(50, (ROUNDUP(SUM(S91)/2,0)))</f>
        <v/>
      </c>
      <c r="U91" s="50">
        <f>MIN(100, (SUM(R91,T91)))</f>
        <v/>
      </c>
      <c r="V91" s="51">
        <f>(U91/100)</f>
        <v/>
      </c>
      <c r="W91" s="52">
        <f>IF(U91&gt;=80,"4.0",IF(U91&gt;=70,"3.5",IF(U91&gt;=65,"3.0",IF(U91&gt;=60,"2.5",IF(U91&gt;=55,"2.0",IF(U91&gt;=50,"1.5",IF(U91&gt;=45,"1.0",IF(U91&gt;=40,"0.5",IF(U91&lt;40,"0.0")))))))))</f>
        <v/>
      </c>
      <c r="X91" s="53">
        <f>IF(U91&gt;=80,"A1",IF(U91&gt;=70,"B2",IF(U91&gt;=65,"B3",IF(U91&gt;=60,"C4",IF(U91&gt;=55,"C5",IF(U91&gt;=50,"C6",IF(U91&gt;=45,"D7",IF(U91&gt;=40,"E8",IF(U91&lt;40,"F9")))))))))</f>
        <v/>
      </c>
      <c r="Z91" s="71" t="n"/>
      <c r="AA91" s="71" t="n"/>
      <c r="AB91" s="71" t="n"/>
      <c r="AC91" s="71" t="n"/>
      <c r="AD91" s="71" t="n"/>
    </row>
    <row r="92" ht="15.75" customHeight="1">
      <c r="A92" s="41" t="n">
        <v>83</v>
      </c>
      <c r="B92" s="80" t="n"/>
      <c r="C92" s="84" t="n"/>
      <c r="D92" s="81" t="n"/>
      <c r="E92" s="44" t="n">
        <v>0</v>
      </c>
      <c r="F92" s="44" t="n">
        <v>0</v>
      </c>
      <c r="G92" s="45">
        <f>MIN(100, (SUM(E92:F92)))</f>
        <v/>
      </c>
      <c r="H92" s="44" t="n">
        <v>0</v>
      </c>
      <c r="I92" s="44" t="n">
        <v>0</v>
      </c>
      <c r="J92" s="45">
        <f>MIN(100,(SUM(H92:I92)))</f>
        <v/>
      </c>
      <c r="K92" s="44" t="n">
        <v>0</v>
      </c>
      <c r="L92" s="44" t="n">
        <v>0</v>
      </c>
      <c r="M92" s="45">
        <f>MIN(100,(SUM(K92:L92)))</f>
        <v/>
      </c>
      <c r="N92" s="44" t="n">
        <v>0</v>
      </c>
      <c r="O92" s="44" t="n">
        <v>0</v>
      </c>
      <c r="P92" s="46">
        <f>MIN(500, (SUM(G92,J92,M92,N92,O92)))</f>
        <v/>
      </c>
      <c r="Q92" s="47">
        <f>P92/500*100</f>
        <v/>
      </c>
      <c r="R92" s="48">
        <f>MIN(50, (ROUNDUP(SUM(Q92)/2,0)))</f>
        <v/>
      </c>
      <c r="S92" s="49" t="n">
        <v>0</v>
      </c>
      <c r="T92" s="48">
        <f>MIN(50, (ROUNDUP(SUM(S92)/2,0)))</f>
        <v/>
      </c>
      <c r="U92" s="50">
        <f>MIN(100, (SUM(R92,T92)))</f>
        <v/>
      </c>
      <c r="V92" s="51">
        <f>(U92/100)</f>
        <v/>
      </c>
      <c r="W92" s="52">
        <f>IF(U92&gt;=80,"4.0",IF(U92&gt;=70,"3.5",IF(U92&gt;=65,"3.0",IF(U92&gt;=60,"2.5",IF(U92&gt;=55,"2.0",IF(U92&gt;=50,"1.5",IF(U92&gt;=45,"1.0",IF(U92&gt;=40,"0.5",IF(U92&lt;40,"0.0")))))))))</f>
        <v/>
      </c>
      <c r="X92" s="53">
        <f>IF(U92&gt;=80,"A1",IF(U92&gt;=70,"B2",IF(U92&gt;=65,"B3",IF(U92&gt;=60,"C4",IF(U92&gt;=55,"C5",IF(U92&gt;=50,"C6",IF(U92&gt;=45,"D7",IF(U92&gt;=40,"E8",IF(U92&lt;40,"F9")))))))))</f>
        <v/>
      </c>
      <c r="Z92" s="71" t="n"/>
      <c r="AA92" s="71" t="n"/>
      <c r="AB92" s="71" t="n"/>
      <c r="AC92" s="71" t="n"/>
      <c r="AD92" s="71" t="n"/>
    </row>
    <row r="93" ht="15.75" customHeight="1">
      <c r="A93" s="41" t="n">
        <v>84</v>
      </c>
      <c r="B93" s="80" t="n"/>
      <c r="C93" s="84" t="n"/>
      <c r="D93" s="81" t="n"/>
      <c r="E93" s="44" t="n">
        <v>0</v>
      </c>
      <c r="F93" s="44" t="n">
        <v>0</v>
      </c>
      <c r="G93" s="45">
        <f>MIN(100, (SUM(E93:F93)))</f>
        <v/>
      </c>
      <c r="H93" s="44" t="n">
        <v>0</v>
      </c>
      <c r="I93" s="44" t="n">
        <v>0</v>
      </c>
      <c r="J93" s="45">
        <f>MIN(100,(SUM(H93:I93)))</f>
        <v/>
      </c>
      <c r="K93" s="44" t="n">
        <v>0</v>
      </c>
      <c r="L93" s="44" t="n">
        <v>0</v>
      </c>
      <c r="M93" s="45">
        <f>MIN(100,(SUM(K93:L93)))</f>
        <v/>
      </c>
      <c r="N93" s="44" t="n">
        <v>0</v>
      </c>
      <c r="O93" s="44" t="n">
        <v>0</v>
      </c>
      <c r="P93" s="46">
        <f>MIN(500, (SUM(G93,J93,M93,N93,O93)))</f>
        <v/>
      </c>
      <c r="Q93" s="47">
        <f>P93/500*100</f>
        <v/>
      </c>
      <c r="R93" s="48">
        <f>MIN(50, (ROUNDUP(SUM(Q93)/2,0)))</f>
        <v/>
      </c>
      <c r="S93" s="49" t="n">
        <v>0</v>
      </c>
      <c r="T93" s="48">
        <f>MIN(50, (ROUNDUP(SUM(S93)/2,0)))</f>
        <v/>
      </c>
      <c r="U93" s="50">
        <f>MIN(100, (SUM(R93,T93)))</f>
        <v/>
      </c>
      <c r="V93" s="51">
        <f>(U93/100)</f>
        <v/>
      </c>
      <c r="W93" s="52">
        <f>IF(U93&gt;=80,"4.0",IF(U93&gt;=70,"3.5",IF(U93&gt;=65,"3.0",IF(U93&gt;=60,"2.5",IF(U93&gt;=55,"2.0",IF(U93&gt;=50,"1.5",IF(U93&gt;=45,"1.0",IF(U93&gt;=40,"0.5",IF(U93&lt;40,"0.0")))))))))</f>
        <v/>
      </c>
      <c r="X93" s="53">
        <f>IF(U93&gt;=80,"A1",IF(U93&gt;=70,"B2",IF(U93&gt;=65,"B3",IF(U93&gt;=60,"C4",IF(U93&gt;=55,"C5",IF(U93&gt;=50,"C6",IF(U93&gt;=45,"D7",IF(U93&gt;=40,"E8",IF(U93&lt;40,"F9")))))))))</f>
        <v/>
      </c>
      <c r="Z93" s="71" t="n"/>
      <c r="AA93" s="71" t="n"/>
      <c r="AB93" s="71" t="n"/>
      <c r="AC93" s="71" t="n"/>
      <c r="AD93" s="71" t="n"/>
    </row>
    <row r="94" ht="15.75" customHeight="1">
      <c r="A94" s="41" t="n">
        <v>85</v>
      </c>
      <c r="B94" s="80" t="n"/>
      <c r="C94" s="84" t="n"/>
      <c r="D94" s="81" t="n"/>
      <c r="E94" s="44" t="n">
        <v>0</v>
      </c>
      <c r="F94" s="44" t="n">
        <v>0</v>
      </c>
      <c r="G94" s="45">
        <f>MIN(100, (SUM(E94:F94)))</f>
        <v/>
      </c>
      <c r="H94" s="44" t="n">
        <v>0</v>
      </c>
      <c r="I94" s="44" t="n">
        <v>0</v>
      </c>
      <c r="J94" s="45">
        <f>MIN(100,(SUM(H94:I94)))</f>
        <v/>
      </c>
      <c r="K94" s="44" t="n">
        <v>0</v>
      </c>
      <c r="L94" s="44" t="n">
        <v>0</v>
      </c>
      <c r="M94" s="45">
        <f>MIN(100,(SUM(K94:L94)))</f>
        <v/>
      </c>
      <c r="N94" s="44" t="n">
        <v>0</v>
      </c>
      <c r="O94" s="44" t="n">
        <v>0</v>
      </c>
      <c r="P94" s="46">
        <f>MIN(500, (SUM(G94,J94,M94,N94,O94)))</f>
        <v/>
      </c>
      <c r="Q94" s="47">
        <f>P94/500*100</f>
        <v/>
      </c>
      <c r="R94" s="48">
        <f>MIN(50, (ROUNDUP(SUM(Q94)/2,0)))</f>
        <v/>
      </c>
      <c r="S94" s="49" t="n">
        <v>0</v>
      </c>
      <c r="T94" s="48">
        <f>MIN(50, (ROUNDUP(SUM(S94)/2,0)))</f>
        <v/>
      </c>
      <c r="U94" s="50">
        <f>MIN(100, (SUM(R94,T94)))</f>
        <v/>
      </c>
      <c r="V94" s="51">
        <f>(U94/100)</f>
        <v/>
      </c>
      <c r="W94" s="52">
        <f>IF(U94&gt;=80,"4.0",IF(U94&gt;=70,"3.5",IF(U94&gt;=65,"3.0",IF(U94&gt;=60,"2.5",IF(U94&gt;=55,"2.0",IF(U94&gt;=50,"1.5",IF(U94&gt;=45,"1.0",IF(U94&gt;=40,"0.5",IF(U94&lt;40,"0.0")))))))))</f>
        <v/>
      </c>
      <c r="X94" s="53">
        <f>IF(U94&gt;=80,"A1",IF(U94&gt;=70,"B2",IF(U94&gt;=65,"B3",IF(U94&gt;=60,"C4",IF(U94&gt;=55,"C5",IF(U94&gt;=50,"C6",IF(U94&gt;=45,"D7",IF(U94&gt;=40,"E8",IF(U94&lt;40,"F9")))))))))</f>
        <v/>
      </c>
      <c r="Z94" s="71" t="n"/>
      <c r="AA94" s="71" t="n"/>
      <c r="AB94" s="71" t="n"/>
      <c r="AC94" s="71" t="n"/>
      <c r="AD94" s="71" t="n"/>
    </row>
    <row r="95" ht="15.75" customHeight="1">
      <c r="A95" s="41" t="n">
        <v>86</v>
      </c>
      <c r="B95" s="80" t="n"/>
      <c r="C95" s="85" t="n"/>
      <c r="D95" s="85" t="n"/>
      <c r="E95" s="44" t="n">
        <v>0</v>
      </c>
      <c r="F95" s="44" t="n">
        <v>0</v>
      </c>
      <c r="G95" s="45">
        <f>MIN(100, (SUM(E95:F95)))</f>
        <v/>
      </c>
      <c r="H95" s="44" t="n">
        <v>0</v>
      </c>
      <c r="I95" s="44" t="n">
        <v>0</v>
      </c>
      <c r="J95" s="45">
        <f>MIN(100,(SUM(H95:I95)))</f>
        <v/>
      </c>
      <c r="K95" s="44" t="n">
        <v>0</v>
      </c>
      <c r="L95" s="44" t="n">
        <v>0</v>
      </c>
      <c r="M95" s="45">
        <f>MIN(100,(SUM(K95:L95)))</f>
        <v/>
      </c>
      <c r="N95" s="44" t="n">
        <v>0</v>
      </c>
      <c r="O95" s="44" t="n">
        <v>0</v>
      </c>
      <c r="P95" s="46">
        <f>MIN(500, (SUM(G95,J95,M95,N95,O95)))</f>
        <v/>
      </c>
      <c r="Q95" s="47">
        <f>P95/500*100</f>
        <v/>
      </c>
      <c r="R95" s="48">
        <f>MIN(50, (ROUNDUP(SUM(Q95)/2,0)))</f>
        <v/>
      </c>
      <c r="S95" s="49" t="n">
        <v>0</v>
      </c>
      <c r="T95" s="48">
        <f>MIN(50, (ROUNDUP(SUM(S95)/2,0)))</f>
        <v/>
      </c>
      <c r="U95" s="50">
        <f>MIN(100, (SUM(R95,T95)))</f>
        <v/>
      </c>
      <c r="V95" s="51">
        <f>(U95/100)</f>
        <v/>
      </c>
      <c r="W95" s="52">
        <f>IF(U95&gt;=80,"4.0",IF(U95&gt;=70,"3.5",IF(U95&gt;=65,"3.0",IF(U95&gt;=60,"2.5",IF(U95&gt;=55,"2.0",IF(U95&gt;=50,"1.5",IF(U95&gt;=45,"1.0",IF(U95&gt;=40,"0.5",IF(U95&lt;40,"0.0")))))))))</f>
        <v/>
      </c>
      <c r="X95" s="53">
        <f>IF(U95&gt;=80,"A1",IF(U95&gt;=70,"B2",IF(U95&gt;=65,"B3",IF(U95&gt;=60,"C4",IF(U95&gt;=55,"C5",IF(U95&gt;=50,"C6",IF(U95&gt;=45,"D7",IF(U95&gt;=40,"E8",IF(U95&lt;40,"F9")))))))))</f>
        <v/>
      </c>
      <c r="Z95" s="71" t="n"/>
      <c r="AA95" s="71" t="n"/>
      <c r="AB95" s="71" t="n"/>
      <c r="AC95" s="71" t="n"/>
      <c r="AD95" s="71" t="n"/>
    </row>
    <row r="96" ht="15.75" customHeight="1">
      <c r="A96" s="41" t="n">
        <v>87</v>
      </c>
      <c r="B96" s="80" t="n"/>
      <c r="C96" s="85" t="n"/>
      <c r="D96" s="85" t="n"/>
      <c r="E96" s="44" t="n">
        <v>0</v>
      </c>
      <c r="F96" s="44" t="n">
        <v>0</v>
      </c>
      <c r="G96" s="45">
        <f>MIN(100, (SUM(E96:F96)))</f>
        <v/>
      </c>
      <c r="H96" s="44" t="n">
        <v>0</v>
      </c>
      <c r="I96" s="44" t="n">
        <v>0</v>
      </c>
      <c r="J96" s="45">
        <f>MIN(100,(SUM(H96:I96)))</f>
        <v/>
      </c>
      <c r="K96" s="44" t="n">
        <v>0</v>
      </c>
      <c r="L96" s="44" t="n">
        <v>0</v>
      </c>
      <c r="M96" s="45">
        <f>MIN(100,(SUM(K96:L96)))</f>
        <v/>
      </c>
      <c r="N96" s="44" t="n">
        <v>0</v>
      </c>
      <c r="O96" s="44" t="n">
        <v>0</v>
      </c>
      <c r="P96" s="46">
        <f>MIN(500, (SUM(G96,J96,M96,N96,O96)))</f>
        <v/>
      </c>
      <c r="Q96" s="47">
        <f>P96/500*100</f>
        <v/>
      </c>
      <c r="R96" s="48">
        <f>MIN(50, (ROUNDUP(SUM(Q96)/2,0)))</f>
        <v/>
      </c>
      <c r="S96" s="49" t="n">
        <v>0</v>
      </c>
      <c r="T96" s="48">
        <f>MIN(50, (ROUNDUP(SUM(S96)/2,0)))</f>
        <v/>
      </c>
      <c r="U96" s="50">
        <f>MIN(100, (SUM(R96,T96)))</f>
        <v/>
      </c>
      <c r="V96" s="51">
        <f>(U96/100)</f>
        <v/>
      </c>
      <c r="W96" s="52">
        <f>IF(U96&gt;=80,"4.0",IF(U96&gt;=70,"3.5",IF(U96&gt;=65,"3.0",IF(U96&gt;=60,"2.5",IF(U96&gt;=55,"2.0",IF(U96&gt;=50,"1.5",IF(U96&gt;=45,"1.0",IF(U96&gt;=40,"0.5",IF(U96&lt;40,"0.0")))))))))</f>
        <v/>
      </c>
      <c r="X96" s="53">
        <f>IF(U96&gt;=80,"A1",IF(U96&gt;=70,"B2",IF(U96&gt;=65,"B3",IF(U96&gt;=60,"C4",IF(U96&gt;=55,"C5",IF(U96&gt;=50,"C6",IF(U96&gt;=45,"D7",IF(U96&gt;=40,"E8",IF(U96&lt;40,"F9")))))))))</f>
        <v/>
      </c>
      <c r="Z96" s="71" t="n"/>
      <c r="AA96" s="71" t="n"/>
      <c r="AB96" s="71" t="n"/>
      <c r="AC96" s="71" t="n"/>
      <c r="AD96" s="71" t="n"/>
    </row>
    <row r="97" ht="15.75" customHeight="1">
      <c r="A97" s="41" t="n">
        <v>88</v>
      </c>
      <c r="B97" s="80" t="n"/>
      <c r="C97" s="85" t="n"/>
      <c r="D97" s="85" t="n"/>
      <c r="E97" s="44" t="n">
        <v>0</v>
      </c>
      <c r="F97" s="44" t="n">
        <v>0</v>
      </c>
      <c r="G97" s="45">
        <f>MIN(100, (SUM(E97:F97)))</f>
        <v/>
      </c>
      <c r="H97" s="44" t="n">
        <v>0</v>
      </c>
      <c r="I97" s="44" t="n">
        <v>0</v>
      </c>
      <c r="J97" s="45">
        <f>MIN(100,(SUM(H97:I97)))</f>
        <v/>
      </c>
      <c r="K97" s="44" t="n">
        <v>0</v>
      </c>
      <c r="L97" s="44" t="n">
        <v>0</v>
      </c>
      <c r="M97" s="45">
        <f>MIN(100,(SUM(K97:L97)))</f>
        <v/>
      </c>
      <c r="N97" s="44" t="n">
        <v>0</v>
      </c>
      <c r="O97" s="44" t="n">
        <v>0</v>
      </c>
      <c r="P97" s="46">
        <f>MIN(500, (SUM(G97,J97,M97,N97,O97)))</f>
        <v/>
      </c>
      <c r="Q97" s="47">
        <f>P97/500*100</f>
        <v/>
      </c>
      <c r="R97" s="48">
        <f>MIN(50, (ROUNDUP(SUM(Q97)/2,0)))</f>
        <v/>
      </c>
      <c r="S97" s="49" t="n">
        <v>0</v>
      </c>
      <c r="T97" s="48">
        <f>MIN(50, (ROUNDUP(SUM(S97)/2,0)))</f>
        <v/>
      </c>
      <c r="U97" s="50">
        <f>MIN(100, (SUM(R97,T97)))</f>
        <v/>
      </c>
      <c r="V97" s="51">
        <f>(U97/100)</f>
        <v/>
      </c>
      <c r="W97" s="52">
        <f>IF(U97&gt;=80,"4.0",IF(U97&gt;=70,"3.5",IF(U97&gt;=65,"3.0",IF(U97&gt;=60,"2.5",IF(U97&gt;=55,"2.0",IF(U97&gt;=50,"1.5",IF(U97&gt;=45,"1.0",IF(U97&gt;=40,"0.5",IF(U97&lt;40,"0.0")))))))))</f>
        <v/>
      </c>
      <c r="X97" s="53">
        <f>IF(U97&gt;=80,"A1",IF(U97&gt;=70,"B2",IF(U97&gt;=65,"B3",IF(U97&gt;=60,"C4",IF(U97&gt;=55,"C5",IF(U97&gt;=50,"C6",IF(U97&gt;=45,"D7",IF(U97&gt;=40,"E8",IF(U97&lt;40,"F9")))))))))</f>
        <v/>
      </c>
      <c r="Z97" s="71" t="n"/>
      <c r="AA97" s="71" t="n"/>
      <c r="AB97" s="71" t="n"/>
      <c r="AC97" s="71" t="n"/>
      <c r="AD97" s="71" t="n"/>
    </row>
    <row r="98" ht="15.75" customHeight="1">
      <c r="A98" s="41" t="n">
        <v>89</v>
      </c>
      <c r="B98" s="80" t="n"/>
      <c r="C98" s="85" t="n"/>
      <c r="D98" s="85" t="n"/>
      <c r="E98" s="44" t="n">
        <v>0</v>
      </c>
      <c r="F98" s="44" t="n">
        <v>0</v>
      </c>
      <c r="G98" s="45">
        <f>MIN(100, (SUM(E98:F98)))</f>
        <v/>
      </c>
      <c r="H98" s="44" t="n">
        <v>0</v>
      </c>
      <c r="I98" s="44" t="n">
        <v>0</v>
      </c>
      <c r="J98" s="45">
        <f>MIN(100,(SUM(H98:I98)))</f>
        <v/>
      </c>
      <c r="K98" s="44" t="n">
        <v>0</v>
      </c>
      <c r="L98" s="44" t="n">
        <v>0</v>
      </c>
      <c r="M98" s="45">
        <f>MIN(100,(SUM(K98:L98)))</f>
        <v/>
      </c>
      <c r="N98" s="44" t="n">
        <v>0</v>
      </c>
      <c r="O98" s="44" t="n">
        <v>0</v>
      </c>
      <c r="P98" s="46">
        <f>MIN(500, (SUM(G98,J98,M98,N98,O98)))</f>
        <v/>
      </c>
      <c r="Q98" s="47">
        <f>P98/500*100</f>
        <v/>
      </c>
      <c r="R98" s="48">
        <f>MIN(50, (ROUNDUP(SUM(Q98)/2,0)))</f>
        <v/>
      </c>
      <c r="S98" s="49" t="n">
        <v>0</v>
      </c>
      <c r="T98" s="48">
        <f>MIN(50, (ROUNDUP(SUM(S98)/2,0)))</f>
        <v/>
      </c>
      <c r="U98" s="50">
        <f>MIN(100, (SUM(R98,T98)))</f>
        <v/>
      </c>
      <c r="V98" s="51">
        <f>(U98/100)</f>
        <v/>
      </c>
      <c r="W98" s="52">
        <f>IF(U98&gt;=80,"4.0",IF(U98&gt;=70,"3.5",IF(U98&gt;=65,"3.0",IF(U98&gt;=60,"2.5",IF(U98&gt;=55,"2.0",IF(U98&gt;=50,"1.5",IF(U98&gt;=45,"1.0",IF(U98&gt;=40,"0.5",IF(U98&lt;40,"0.0")))))))))</f>
        <v/>
      </c>
      <c r="X98" s="53">
        <f>IF(U98&gt;=80,"A1",IF(U98&gt;=70,"B2",IF(U98&gt;=65,"B3",IF(U98&gt;=60,"C4",IF(U98&gt;=55,"C5",IF(U98&gt;=50,"C6",IF(U98&gt;=45,"D7",IF(U98&gt;=40,"E8",IF(U98&lt;40,"F9")))))))))</f>
        <v/>
      </c>
      <c r="Z98" s="71" t="n"/>
      <c r="AA98" s="71" t="n"/>
      <c r="AB98" s="71" t="n"/>
      <c r="AC98" s="71" t="n"/>
      <c r="AD98" s="71" t="n"/>
    </row>
    <row r="99" ht="15.75" customHeight="1">
      <c r="A99" s="41" t="n">
        <v>90</v>
      </c>
      <c r="B99" s="80" t="n"/>
      <c r="C99" s="85" t="n"/>
      <c r="D99" s="85" t="n"/>
      <c r="E99" s="44" t="n">
        <v>0</v>
      </c>
      <c r="F99" s="44" t="n">
        <v>0</v>
      </c>
      <c r="G99" s="45">
        <f>MIN(100, (SUM(E99:F99)))</f>
        <v/>
      </c>
      <c r="H99" s="44" t="n">
        <v>0</v>
      </c>
      <c r="I99" s="44" t="n">
        <v>0</v>
      </c>
      <c r="J99" s="45">
        <f>MIN(100,(SUM(H99:I99)))</f>
        <v/>
      </c>
      <c r="K99" s="44" t="n">
        <v>0</v>
      </c>
      <c r="L99" s="44" t="n">
        <v>0</v>
      </c>
      <c r="M99" s="45">
        <f>MIN(100,(SUM(K99:L99)))</f>
        <v/>
      </c>
      <c r="N99" s="44" t="n">
        <v>0</v>
      </c>
      <c r="O99" s="44" t="n">
        <v>0</v>
      </c>
      <c r="P99" s="46">
        <f>MIN(500, (SUM(G99,J99,M99,N99,O99)))</f>
        <v/>
      </c>
      <c r="Q99" s="47">
        <f>P99/500*100</f>
        <v/>
      </c>
      <c r="R99" s="48">
        <f>MIN(50, (ROUNDUP(SUM(Q99)/2,0)))</f>
        <v/>
      </c>
      <c r="S99" s="49" t="n">
        <v>0</v>
      </c>
      <c r="T99" s="48">
        <f>MIN(50, (ROUNDUP(SUM(S99)/2,0)))</f>
        <v/>
      </c>
      <c r="U99" s="50">
        <f>MIN(100, (SUM(R99,T99)))</f>
        <v/>
      </c>
      <c r="V99" s="51">
        <f>(U99/100)</f>
        <v/>
      </c>
      <c r="W99" s="52">
        <f>IF(U99&gt;=80,"4.0",IF(U99&gt;=70,"3.5",IF(U99&gt;=65,"3.0",IF(U99&gt;=60,"2.5",IF(U99&gt;=55,"2.0",IF(U99&gt;=50,"1.5",IF(U99&gt;=45,"1.0",IF(U99&gt;=40,"0.5",IF(U99&lt;40,"0.0")))))))))</f>
        <v/>
      </c>
      <c r="X99" s="53">
        <f>IF(U99&gt;=80,"A1",IF(U99&gt;=70,"B2",IF(U99&gt;=65,"B3",IF(U99&gt;=60,"C4",IF(U99&gt;=55,"C5",IF(U99&gt;=50,"C6",IF(U99&gt;=45,"D7",IF(U99&gt;=40,"E8",IF(U99&lt;40,"F9")))))))))</f>
        <v/>
      </c>
      <c r="Z99" s="71" t="n"/>
      <c r="AA99" s="71" t="n"/>
      <c r="AB99" s="71" t="n"/>
      <c r="AC99" s="71" t="n"/>
      <c r="AD99" s="71" t="n"/>
    </row>
    <row r="100" ht="15.75" customHeight="1">
      <c r="A100" s="41" t="n">
        <v>91</v>
      </c>
      <c r="B100" s="80" t="n"/>
      <c r="C100" s="85" t="n"/>
      <c r="D100" s="85" t="n"/>
      <c r="E100" s="44" t="n">
        <v>0</v>
      </c>
      <c r="F100" s="44" t="n">
        <v>0</v>
      </c>
      <c r="G100" s="45">
        <f>MIN(100, (SUM(E100:F100)))</f>
        <v/>
      </c>
      <c r="H100" s="44" t="n">
        <v>0</v>
      </c>
      <c r="I100" s="44" t="n">
        <v>0</v>
      </c>
      <c r="J100" s="45">
        <f>MIN(100,(SUM(H100:I100)))</f>
        <v/>
      </c>
      <c r="K100" s="44" t="n">
        <v>0</v>
      </c>
      <c r="L100" s="44" t="n">
        <v>0</v>
      </c>
      <c r="M100" s="45">
        <f>MIN(100,(SUM(K100:L100)))</f>
        <v/>
      </c>
      <c r="N100" s="44" t="n">
        <v>0</v>
      </c>
      <c r="O100" s="44" t="n">
        <v>0</v>
      </c>
      <c r="P100" s="46">
        <f>MIN(500, (SUM(G100,J100,M100,N100,O100)))</f>
        <v/>
      </c>
      <c r="Q100" s="47">
        <f>P100/500*100</f>
        <v/>
      </c>
      <c r="R100" s="48">
        <f>MIN(50, (ROUNDUP(SUM(Q100)/2,0)))</f>
        <v/>
      </c>
      <c r="S100" s="49" t="n">
        <v>0</v>
      </c>
      <c r="T100" s="48">
        <f>MIN(50, (ROUNDUP(SUM(S100)/2,0)))</f>
        <v/>
      </c>
      <c r="U100" s="50">
        <f>MIN(100, (SUM(R100,T100)))</f>
        <v/>
      </c>
      <c r="V100" s="51">
        <f>(U100/100)</f>
        <v/>
      </c>
      <c r="W100" s="52">
        <f>IF(U100&gt;=80,"4.0",IF(U100&gt;=70,"3.5",IF(U100&gt;=65,"3.0",IF(U100&gt;=60,"2.5",IF(U100&gt;=55,"2.0",IF(U100&gt;=50,"1.5",IF(U100&gt;=45,"1.0",IF(U100&gt;=40,"0.5",IF(U100&lt;40,"0.0")))))))))</f>
        <v/>
      </c>
      <c r="X100" s="53">
        <f>IF(U100&gt;=80,"A1",IF(U100&gt;=70,"B2",IF(U100&gt;=65,"B3",IF(U100&gt;=60,"C4",IF(U100&gt;=55,"C5",IF(U100&gt;=50,"C6",IF(U100&gt;=45,"D7",IF(U100&gt;=40,"E8",IF(U100&lt;40,"F9")))))))))</f>
        <v/>
      </c>
      <c r="Z100" s="71" t="n"/>
      <c r="AA100" s="71" t="n"/>
      <c r="AB100" s="71" t="n"/>
      <c r="AC100" s="71" t="n"/>
      <c r="AD100" s="71" t="n"/>
    </row>
    <row r="101" ht="15.75" customHeight="1">
      <c r="A101" s="41" t="n">
        <v>92</v>
      </c>
      <c r="B101" s="80" t="n"/>
      <c r="C101" s="85" t="n"/>
      <c r="D101" s="85" t="n"/>
      <c r="E101" s="44" t="n">
        <v>0</v>
      </c>
      <c r="F101" s="44" t="n">
        <v>0</v>
      </c>
      <c r="G101" s="45">
        <f>MIN(100, (SUM(E101:F101)))</f>
        <v/>
      </c>
      <c r="H101" s="44" t="n">
        <v>0</v>
      </c>
      <c r="I101" s="44" t="n">
        <v>0</v>
      </c>
      <c r="J101" s="45">
        <f>MIN(100,(SUM(H101:I101)))</f>
        <v/>
      </c>
      <c r="K101" s="44" t="n">
        <v>0</v>
      </c>
      <c r="L101" s="44" t="n">
        <v>0</v>
      </c>
      <c r="M101" s="45">
        <f>MIN(100,(SUM(K101:L101)))</f>
        <v/>
      </c>
      <c r="N101" s="44" t="n">
        <v>0</v>
      </c>
      <c r="O101" s="44" t="n">
        <v>0</v>
      </c>
      <c r="P101" s="46">
        <f>MIN(500, (SUM(G101,J101,M101,N101,O101)))</f>
        <v/>
      </c>
      <c r="Q101" s="47">
        <f>P101/500*100</f>
        <v/>
      </c>
      <c r="R101" s="48">
        <f>MIN(50, (ROUNDUP(SUM(Q101)/2,0)))</f>
        <v/>
      </c>
      <c r="S101" s="49" t="n">
        <v>0</v>
      </c>
      <c r="T101" s="48">
        <f>MIN(50, (ROUNDUP(SUM(S101)/2,0)))</f>
        <v/>
      </c>
      <c r="U101" s="50">
        <f>MIN(100, (SUM(R101,T101)))</f>
        <v/>
      </c>
      <c r="V101" s="51">
        <f>(U101/100)</f>
        <v/>
      </c>
      <c r="W101" s="52">
        <f>IF(U101&gt;=80,"4.0",IF(U101&gt;=70,"3.5",IF(U101&gt;=65,"3.0",IF(U101&gt;=60,"2.5",IF(U101&gt;=55,"2.0",IF(U101&gt;=50,"1.5",IF(U101&gt;=45,"1.0",IF(U101&gt;=40,"0.5",IF(U101&lt;40,"0.0")))))))))</f>
        <v/>
      </c>
      <c r="X101" s="53">
        <f>IF(U101&gt;=80,"A1",IF(U101&gt;=70,"B2",IF(U101&gt;=65,"B3",IF(U101&gt;=60,"C4",IF(U101&gt;=55,"C5",IF(U101&gt;=50,"C6",IF(U101&gt;=45,"D7",IF(U101&gt;=40,"E8",IF(U101&lt;40,"F9")))))))))</f>
        <v/>
      </c>
      <c r="Z101" s="71" t="n"/>
      <c r="AA101" s="71" t="n"/>
      <c r="AB101" s="71" t="n"/>
      <c r="AC101" s="71" t="n"/>
      <c r="AD101" s="71" t="n"/>
    </row>
    <row r="102" ht="15.75" customHeight="1">
      <c r="A102" s="41" t="n">
        <v>93</v>
      </c>
      <c r="B102" s="80" t="n"/>
      <c r="C102" s="85" t="n"/>
      <c r="D102" s="85" t="n"/>
      <c r="E102" s="44" t="n">
        <v>0</v>
      </c>
      <c r="F102" s="44" t="n">
        <v>0</v>
      </c>
      <c r="G102" s="45">
        <f>MIN(100, (SUM(E102:F102)))</f>
        <v/>
      </c>
      <c r="H102" s="44" t="n">
        <v>0</v>
      </c>
      <c r="I102" s="44" t="n">
        <v>0</v>
      </c>
      <c r="J102" s="45">
        <f>MIN(100,(SUM(H102:I102)))</f>
        <v/>
      </c>
      <c r="K102" s="44" t="n">
        <v>0</v>
      </c>
      <c r="L102" s="44" t="n">
        <v>0</v>
      </c>
      <c r="M102" s="45">
        <f>MIN(100,(SUM(K102:L102)))</f>
        <v/>
      </c>
      <c r="N102" s="44" t="n">
        <v>0</v>
      </c>
      <c r="O102" s="44" t="n">
        <v>0</v>
      </c>
      <c r="P102" s="46">
        <f>MIN(500, (SUM(G102,J102,M102,N102,O102)))</f>
        <v/>
      </c>
      <c r="Q102" s="47">
        <f>P102/500*100</f>
        <v/>
      </c>
      <c r="R102" s="48">
        <f>MIN(50, (ROUNDUP(SUM(Q102)/2,0)))</f>
        <v/>
      </c>
      <c r="S102" s="49" t="n">
        <v>0</v>
      </c>
      <c r="T102" s="48">
        <f>MIN(50, (ROUNDUP(SUM(S102)/2,0)))</f>
        <v/>
      </c>
      <c r="U102" s="50">
        <f>MIN(100, (SUM(R102,T102)))</f>
        <v/>
      </c>
      <c r="V102" s="51">
        <f>(U102/100)</f>
        <v/>
      </c>
      <c r="W102" s="52">
        <f>IF(U102&gt;=80,"4.0",IF(U102&gt;=70,"3.5",IF(U102&gt;=65,"3.0",IF(U102&gt;=60,"2.5",IF(U102&gt;=55,"2.0",IF(U102&gt;=50,"1.5",IF(U102&gt;=45,"1.0",IF(U102&gt;=40,"0.5",IF(U102&lt;40,"0.0")))))))))</f>
        <v/>
      </c>
      <c r="X102" s="53">
        <f>IF(U102&gt;=80,"A1",IF(U102&gt;=70,"B2",IF(U102&gt;=65,"B3",IF(U102&gt;=60,"C4",IF(U102&gt;=55,"C5",IF(U102&gt;=50,"C6",IF(U102&gt;=45,"D7",IF(U102&gt;=40,"E8",IF(U102&lt;40,"F9")))))))))</f>
        <v/>
      </c>
      <c r="Z102" s="71" t="n"/>
      <c r="AA102" s="71" t="n"/>
      <c r="AB102" s="71" t="n"/>
      <c r="AC102" s="71" t="n"/>
      <c r="AD102" s="71" t="n"/>
    </row>
    <row r="103" ht="15.75" customHeight="1">
      <c r="A103" s="41" t="n">
        <v>94</v>
      </c>
      <c r="B103" s="80" t="n"/>
      <c r="C103" s="85" t="n"/>
      <c r="D103" s="85" t="n"/>
      <c r="E103" s="44" t="n">
        <v>0</v>
      </c>
      <c r="F103" s="44" t="n">
        <v>0</v>
      </c>
      <c r="G103" s="45">
        <f>MIN(100, (SUM(E103:F103)))</f>
        <v/>
      </c>
      <c r="H103" s="44" t="n">
        <v>0</v>
      </c>
      <c r="I103" s="44" t="n">
        <v>0</v>
      </c>
      <c r="J103" s="45">
        <f>MIN(100,(SUM(H103:I103)))</f>
        <v/>
      </c>
      <c r="K103" s="44" t="n">
        <v>0</v>
      </c>
      <c r="L103" s="44" t="n">
        <v>0</v>
      </c>
      <c r="M103" s="45">
        <f>MIN(100,(SUM(K103:L103)))</f>
        <v/>
      </c>
      <c r="N103" s="44" t="n">
        <v>0</v>
      </c>
      <c r="O103" s="44" t="n">
        <v>0</v>
      </c>
      <c r="P103" s="46">
        <f>MIN(500, (SUM(G103,J103,M103,N103,O103)))</f>
        <v/>
      </c>
      <c r="Q103" s="47">
        <f>P103/500*100</f>
        <v/>
      </c>
      <c r="R103" s="48">
        <f>MIN(50, (ROUNDUP(SUM(Q103)/2,0)))</f>
        <v/>
      </c>
      <c r="S103" s="49" t="n">
        <v>0</v>
      </c>
      <c r="T103" s="48">
        <f>MIN(50, (ROUNDUP(SUM(S103)/2,0)))</f>
        <v/>
      </c>
      <c r="U103" s="50">
        <f>MIN(100, (SUM(R103,T103)))</f>
        <v/>
      </c>
      <c r="V103" s="51">
        <f>(U103/100)</f>
        <v/>
      </c>
      <c r="W103" s="52">
        <f>IF(U103&gt;=80,"4.0",IF(U103&gt;=70,"3.5",IF(U103&gt;=65,"3.0",IF(U103&gt;=60,"2.5",IF(U103&gt;=55,"2.0",IF(U103&gt;=50,"1.5",IF(U103&gt;=45,"1.0",IF(U103&gt;=40,"0.5",IF(U103&lt;40,"0.0")))))))))</f>
        <v/>
      </c>
      <c r="X103" s="53">
        <f>IF(U103&gt;=80,"A1",IF(U103&gt;=70,"B2",IF(U103&gt;=65,"B3",IF(U103&gt;=60,"C4",IF(U103&gt;=55,"C5",IF(U103&gt;=50,"C6",IF(U103&gt;=45,"D7",IF(U103&gt;=40,"E8",IF(U103&lt;40,"F9")))))))))</f>
        <v/>
      </c>
      <c r="Z103" s="71" t="n"/>
      <c r="AA103" s="71" t="n"/>
      <c r="AB103" s="71" t="n"/>
      <c r="AC103" s="71" t="n"/>
      <c r="AD103" s="71" t="n"/>
    </row>
    <row r="104" ht="15.75" customHeight="1">
      <c r="A104" s="41" t="n">
        <v>95</v>
      </c>
      <c r="B104" s="80" t="n"/>
      <c r="C104" s="85" t="n"/>
      <c r="D104" s="85" t="n"/>
      <c r="E104" s="44" t="n">
        <v>0</v>
      </c>
      <c r="F104" s="44" t="n">
        <v>0</v>
      </c>
      <c r="G104" s="45">
        <f>MIN(100, (SUM(E104:F104)))</f>
        <v/>
      </c>
      <c r="H104" s="44" t="n">
        <v>0</v>
      </c>
      <c r="I104" s="44" t="n">
        <v>0</v>
      </c>
      <c r="J104" s="45">
        <f>MIN(100,(SUM(H104:I104)))</f>
        <v/>
      </c>
      <c r="K104" s="44" t="n">
        <v>0</v>
      </c>
      <c r="L104" s="44" t="n">
        <v>0</v>
      </c>
      <c r="M104" s="45">
        <f>MIN(100,(SUM(K104:L104)))</f>
        <v/>
      </c>
      <c r="N104" s="44" t="n">
        <v>0</v>
      </c>
      <c r="O104" s="44" t="n">
        <v>0</v>
      </c>
      <c r="P104" s="46">
        <f>MIN(500, (SUM(G104,J104,M104,N104,O104)))</f>
        <v/>
      </c>
      <c r="Q104" s="47">
        <f>P104/500*100</f>
        <v/>
      </c>
      <c r="R104" s="48">
        <f>MIN(50, (ROUNDUP(SUM(Q104)/2,0)))</f>
        <v/>
      </c>
      <c r="S104" s="49" t="n">
        <v>0</v>
      </c>
      <c r="T104" s="48">
        <f>MIN(50, (ROUNDUP(SUM(S104)/2,0)))</f>
        <v/>
      </c>
      <c r="U104" s="50">
        <f>MIN(100, (SUM(R104,T104)))</f>
        <v/>
      </c>
      <c r="V104" s="51">
        <f>(U104/100)</f>
        <v/>
      </c>
      <c r="W104" s="52">
        <f>IF(U104&gt;=80,"4.0",IF(U104&gt;=70,"3.5",IF(U104&gt;=65,"3.0",IF(U104&gt;=60,"2.5",IF(U104&gt;=55,"2.0",IF(U104&gt;=50,"1.5",IF(U104&gt;=45,"1.0",IF(U104&gt;=40,"0.5",IF(U104&lt;40,"0.0")))))))))</f>
        <v/>
      </c>
      <c r="X104" s="53">
        <f>IF(U104&gt;=80,"A1",IF(U104&gt;=70,"B2",IF(U104&gt;=65,"B3",IF(U104&gt;=60,"C4",IF(U104&gt;=55,"C5",IF(U104&gt;=50,"C6",IF(U104&gt;=45,"D7",IF(U104&gt;=40,"E8",IF(U104&lt;40,"F9")))))))))</f>
        <v/>
      </c>
      <c r="Z104" s="71" t="n"/>
      <c r="AA104" s="71" t="n"/>
      <c r="AB104" s="71" t="n"/>
      <c r="AC104" s="71" t="n"/>
      <c r="AD104" s="71" t="n"/>
    </row>
    <row r="105" ht="15.75" customHeight="1">
      <c r="A105" s="41" t="n">
        <v>96</v>
      </c>
      <c r="B105" s="80" t="n"/>
      <c r="C105" s="85" t="n"/>
      <c r="D105" s="85" t="n"/>
      <c r="E105" s="44" t="n">
        <v>0</v>
      </c>
      <c r="F105" s="44" t="n">
        <v>0</v>
      </c>
      <c r="G105" s="45">
        <f>MIN(100, (SUM(E105:F105)))</f>
        <v/>
      </c>
      <c r="H105" s="44" t="n">
        <v>0</v>
      </c>
      <c r="I105" s="44" t="n">
        <v>0</v>
      </c>
      <c r="J105" s="45">
        <f>MIN(100,(SUM(H105:I105)))</f>
        <v/>
      </c>
      <c r="K105" s="44" t="n">
        <v>0</v>
      </c>
      <c r="L105" s="44" t="n">
        <v>0</v>
      </c>
      <c r="M105" s="45">
        <f>MIN(100,(SUM(K105:L105)))</f>
        <v/>
      </c>
      <c r="N105" s="44" t="n">
        <v>0</v>
      </c>
      <c r="O105" s="44" t="n">
        <v>0</v>
      </c>
      <c r="P105" s="46">
        <f>MIN(500, (SUM(G105,J105,M105,N105,O105)))</f>
        <v/>
      </c>
      <c r="Q105" s="47">
        <f>P105/500*100</f>
        <v/>
      </c>
      <c r="R105" s="48">
        <f>MIN(50, (ROUNDUP(SUM(Q105)/2,0)))</f>
        <v/>
      </c>
      <c r="S105" s="49" t="n">
        <v>0</v>
      </c>
      <c r="T105" s="48">
        <f>MIN(50, (ROUNDUP(SUM(S105)/2,0)))</f>
        <v/>
      </c>
      <c r="U105" s="50">
        <f>MIN(100, (SUM(R105,T105)))</f>
        <v/>
      </c>
      <c r="V105" s="51">
        <f>(U105/100)</f>
        <v/>
      </c>
      <c r="W105" s="52">
        <f>IF(U105&gt;=80,"4.0",IF(U105&gt;=70,"3.5",IF(U105&gt;=65,"3.0",IF(U105&gt;=60,"2.5",IF(U105&gt;=55,"2.0",IF(U105&gt;=50,"1.5",IF(U105&gt;=45,"1.0",IF(U105&gt;=40,"0.5",IF(U105&lt;40,"0.0")))))))))</f>
        <v/>
      </c>
      <c r="X105" s="53">
        <f>IF(U105&gt;=80,"A1",IF(U105&gt;=70,"B2",IF(U105&gt;=65,"B3",IF(U105&gt;=60,"C4",IF(U105&gt;=55,"C5",IF(U105&gt;=50,"C6",IF(U105&gt;=45,"D7",IF(U105&gt;=40,"E8",IF(U105&lt;40,"F9")))))))))</f>
        <v/>
      </c>
      <c r="Z105" s="71" t="n"/>
      <c r="AA105" s="71" t="n"/>
      <c r="AB105" s="71" t="n"/>
      <c r="AC105" s="71" t="n"/>
      <c r="AD105" s="71" t="n"/>
    </row>
    <row r="106" ht="15.75" customHeight="1">
      <c r="A106" s="41" t="n">
        <v>97</v>
      </c>
      <c r="B106" s="80" t="n"/>
      <c r="C106" s="85" t="n"/>
      <c r="D106" s="85" t="n"/>
      <c r="E106" s="44" t="n">
        <v>0</v>
      </c>
      <c r="F106" s="44" t="n">
        <v>0</v>
      </c>
      <c r="G106" s="45">
        <f>MIN(100, (SUM(E106:F106)))</f>
        <v/>
      </c>
      <c r="H106" s="44" t="n">
        <v>0</v>
      </c>
      <c r="I106" s="44" t="n">
        <v>0</v>
      </c>
      <c r="J106" s="45">
        <f>MIN(100,(SUM(H106:I106)))</f>
        <v/>
      </c>
      <c r="K106" s="44" t="n">
        <v>0</v>
      </c>
      <c r="L106" s="44" t="n">
        <v>0</v>
      </c>
      <c r="M106" s="45">
        <f>MIN(100,(SUM(K106:L106)))</f>
        <v/>
      </c>
      <c r="N106" s="44" t="n">
        <v>0</v>
      </c>
      <c r="O106" s="44" t="n">
        <v>0</v>
      </c>
      <c r="P106" s="46">
        <f>MIN(500, (SUM(G106,J106,M106,N106,O106)))</f>
        <v/>
      </c>
      <c r="Q106" s="47">
        <f>P106/500*100</f>
        <v/>
      </c>
      <c r="R106" s="48">
        <f>MIN(50, (ROUNDUP(SUM(Q106)/2,0)))</f>
        <v/>
      </c>
      <c r="S106" s="49" t="n">
        <v>0</v>
      </c>
      <c r="T106" s="48">
        <f>MIN(50, (ROUNDUP(SUM(S106)/2,0)))</f>
        <v/>
      </c>
      <c r="U106" s="50">
        <f>MIN(100, (SUM(R106,T106)))</f>
        <v/>
      </c>
      <c r="V106" s="51">
        <f>(U106/100)</f>
        <v/>
      </c>
      <c r="W106" s="52">
        <f>IF(U106&gt;=80,"4.0",IF(U106&gt;=70,"3.5",IF(U106&gt;=65,"3.0",IF(U106&gt;=60,"2.5",IF(U106&gt;=55,"2.0",IF(U106&gt;=50,"1.5",IF(U106&gt;=45,"1.0",IF(U106&gt;=40,"0.5",IF(U106&lt;40,"0.0")))))))))</f>
        <v/>
      </c>
      <c r="X106" s="53">
        <f>IF(U106&gt;=80,"A1",IF(U106&gt;=70,"B2",IF(U106&gt;=65,"B3",IF(U106&gt;=60,"C4",IF(U106&gt;=55,"C5",IF(U106&gt;=50,"C6",IF(U106&gt;=45,"D7",IF(U106&gt;=40,"E8",IF(U106&lt;40,"F9")))))))))</f>
        <v/>
      </c>
      <c r="Z106" s="71" t="n"/>
      <c r="AA106" s="71" t="n"/>
      <c r="AB106" s="71" t="n"/>
      <c r="AC106" s="71" t="n"/>
      <c r="AD106" s="71" t="n"/>
    </row>
    <row r="107" ht="15.75" customHeight="1">
      <c r="A107" s="41" t="n">
        <v>98</v>
      </c>
      <c r="B107" s="80" t="n"/>
      <c r="C107" s="85" t="n"/>
      <c r="D107" s="85" t="n"/>
      <c r="E107" s="44" t="n">
        <v>0</v>
      </c>
      <c r="F107" s="44" t="n">
        <v>0</v>
      </c>
      <c r="G107" s="45">
        <f>MIN(100, (SUM(E107:F107)))</f>
        <v/>
      </c>
      <c r="H107" s="44" t="n">
        <v>0</v>
      </c>
      <c r="I107" s="44" t="n">
        <v>0</v>
      </c>
      <c r="J107" s="45">
        <f>MIN(100,(SUM(H107:I107)))</f>
        <v/>
      </c>
      <c r="K107" s="44" t="n">
        <v>0</v>
      </c>
      <c r="L107" s="44" t="n">
        <v>0</v>
      </c>
      <c r="M107" s="45">
        <f>MIN(100,(SUM(K107:L107)))</f>
        <v/>
      </c>
      <c r="N107" s="44" t="n">
        <v>0</v>
      </c>
      <c r="O107" s="44" t="n">
        <v>0</v>
      </c>
      <c r="P107" s="46">
        <f>MIN(500, (SUM(G107,J107,M107,N107,O107)))</f>
        <v/>
      </c>
      <c r="Q107" s="47">
        <f>P107/500*100</f>
        <v/>
      </c>
      <c r="R107" s="48">
        <f>MIN(50, (ROUNDUP(SUM(Q107)/2,0)))</f>
        <v/>
      </c>
      <c r="S107" s="49" t="n">
        <v>0</v>
      </c>
      <c r="T107" s="48">
        <f>MIN(50, (ROUNDUP(SUM(S107)/2,0)))</f>
        <v/>
      </c>
      <c r="U107" s="50">
        <f>MIN(100, (SUM(R107,T107)))</f>
        <v/>
      </c>
      <c r="V107" s="51">
        <f>(U107/100)</f>
        <v/>
      </c>
      <c r="W107" s="52">
        <f>IF(U107&gt;=80,"4.0",IF(U107&gt;=70,"3.5",IF(U107&gt;=65,"3.0",IF(U107&gt;=60,"2.5",IF(U107&gt;=55,"2.0",IF(U107&gt;=50,"1.5",IF(U107&gt;=45,"1.0",IF(U107&gt;=40,"0.5",IF(U107&lt;40,"0.0")))))))))</f>
        <v/>
      </c>
      <c r="X107" s="53">
        <f>IF(U107&gt;=80,"A1",IF(U107&gt;=70,"B2",IF(U107&gt;=65,"B3",IF(U107&gt;=60,"C4",IF(U107&gt;=55,"C5",IF(U107&gt;=50,"C6",IF(U107&gt;=45,"D7",IF(U107&gt;=40,"E8",IF(U107&lt;40,"F9")))))))))</f>
        <v/>
      </c>
      <c r="Z107" s="71" t="n"/>
      <c r="AA107" s="71" t="n"/>
      <c r="AB107" s="71" t="n"/>
      <c r="AC107" s="71" t="n"/>
      <c r="AD107" s="71" t="n"/>
    </row>
    <row r="108" ht="15.75" customHeight="1">
      <c r="A108" s="41" t="n">
        <v>99</v>
      </c>
      <c r="B108" s="80" t="n"/>
      <c r="C108" s="85" t="n"/>
      <c r="D108" s="85" t="n"/>
      <c r="E108" s="44" t="n">
        <v>0</v>
      </c>
      <c r="F108" s="44" t="n">
        <v>0</v>
      </c>
      <c r="G108" s="45">
        <f>MIN(100, (SUM(E108:F108)))</f>
        <v/>
      </c>
      <c r="H108" s="44" t="n">
        <v>0</v>
      </c>
      <c r="I108" s="44" t="n">
        <v>0</v>
      </c>
      <c r="J108" s="45">
        <f>MIN(100,(SUM(H108:I108)))</f>
        <v/>
      </c>
      <c r="K108" s="44" t="n">
        <v>0</v>
      </c>
      <c r="L108" s="44" t="n">
        <v>0</v>
      </c>
      <c r="M108" s="45">
        <f>MIN(100,(SUM(K108:L108)))</f>
        <v/>
      </c>
      <c r="N108" s="44" t="n">
        <v>0</v>
      </c>
      <c r="O108" s="44" t="n">
        <v>0</v>
      </c>
      <c r="P108" s="46">
        <f>MIN(500, (SUM(G108,J108,M108,N108,O108)))</f>
        <v/>
      </c>
      <c r="Q108" s="47">
        <f>P108/500*100</f>
        <v/>
      </c>
      <c r="R108" s="48">
        <f>MIN(50, (ROUNDUP(SUM(Q108)/2,0)))</f>
        <v/>
      </c>
      <c r="S108" s="49" t="n">
        <v>0</v>
      </c>
      <c r="T108" s="48">
        <f>MIN(50, (ROUNDUP(SUM(S108)/2,0)))</f>
        <v/>
      </c>
      <c r="U108" s="50">
        <f>MIN(100, (SUM(R108,T108)))</f>
        <v/>
      </c>
      <c r="V108" s="51">
        <f>(U108/100)</f>
        <v/>
      </c>
      <c r="W108" s="52">
        <f>IF(U108&gt;=80,"4.0",IF(U108&gt;=70,"3.5",IF(U108&gt;=65,"3.0",IF(U108&gt;=60,"2.5",IF(U108&gt;=55,"2.0",IF(U108&gt;=50,"1.5",IF(U108&gt;=45,"1.0",IF(U108&gt;=40,"0.5",IF(U108&lt;40,"0.0")))))))))</f>
        <v/>
      </c>
      <c r="X108" s="53">
        <f>IF(U108&gt;=80,"A1",IF(U108&gt;=70,"B2",IF(U108&gt;=65,"B3",IF(U108&gt;=60,"C4",IF(U108&gt;=55,"C5",IF(U108&gt;=50,"C6",IF(U108&gt;=45,"D7",IF(U108&gt;=40,"E8",IF(U108&lt;40,"F9")))))))))</f>
        <v/>
      </c>
      <c r="Z108" s="71" t="n"/>
      <c r="AA108" s="71" t="n"/>
      <c r="AB108" s="71" t="n"/>
      <c r="AC108" s="71" t="n"/>
      <c r="AD108" s="71" t="n"/>
    </row>
    <row r="109" ht="15.75" customHeight="1">
      <c r="A109" s="41" t="n">
        <v>100</v>
      </c>
      <c r="B109" s="80" t="n"/>
      <c r="C109" s="85" t="n"/>
      <c r="D109" s="85" t="n"/>
      <c r="E109" s="44" t="n">
        <v>0</v>
      </c>
      <c r="F109" s="44" t="n">
        <v>0</v>
      </c>
      <c r="G109" s="45">
        <f>MIN(100, (SUM(E109:F109)))</f>
        <v/>
      </c>
      <c r="H109" s="44" t="n">
        <v>0</v>
      </c>
      <c r="I109" s="44" t="n">
        <v>0</v>
      </c>
      <c r="J109" s="45">
        <f>MIN(100,(SUM(H109:I109)))</f>
        <v/>
      </c>
      <c r="K109" s="44" t="n">
        <v>0</v>
      </c>
      <c r="L109" s="44" t="n">
        <v>0</v>
      </c>
      <c r="M109" s="45">
        <f>MIN(100,(SUM(K109:L109)))</f>
        <v/>
      </c>
      <c r="N109" s="44" t="n">
        <v>0</v>
      </c>
      <c r="O109" s="44" t="n">
        <v>0</v>
      </c>
      <c r="P109" s="46">
        <f>MIN(500, (SUM(G109,J109,M109,N109,O109)))</f>
        <v/>
      </c>
      <c r="Q109" s="47">
        <f>P109/500*100</f>
        <v/>
      </c>
      <c r="R109" s="48">
        <f>MIN(50, (ROUNDUP(SUM(Q109)/2,0)))</f>
        <v/>
      </c>
      <c r="S109" s="49" t="n">
        <v>0</v>
      </c>
      <c r="T109" s="48">
        <f>MIN(50, (ROUNDUP(SUM(S109)/2,0)))</f>
        <v/>
      </c>
      <c r="U109" s="50">
        <f>MIN(100, (SUM(R109,T109)))</f>
        <v/>
      </c>
      <c r="V109" s="51">
        <f>(U109/100)</f>
        <v/>
      </c>
      <c r="W109" s="52">
        <f>IF(U109&gt;=80,"4.0",IF(U109&gt;=70,"3.5",IF(U109&gt;=65,"3.0",IF(U109&gt;=60,"2.5",IF(U109&gt;=55,"2.0",IF(U109&gt;=50,"1.5",IF(U109&gt;=45,"1.0",IF(U109&gt;=40,"0.5",IF(U109&lt;40,"0.0")))))))))</f>
        <v/>
      </c>
      <c r="X109" s="53">
        <f>IF(U109&gt;=80,"A1",IF(U109&gt;=70,"B2",IF(U109&gt;=65,"B3",IF(U109&gt;=60,"C4",IF(U109&gt;=55,"C5",IF(U109&gt;=50,"C6",IF(U109&gt;=45,"D7",IF(U109&gt;=40,"E8",IF(U109&lt;40,"F9")))))))))</f>
        <v/>
      </c>
      <c r="Z109" s="71" t="n"/>
      <c r="AA109" s="71" t="n"/>
      <c r="AB109" s="71" t="n"/>
      <c r="AC109" s="71" t="n"/>
      <c r="AD109" s="71" t="n"/>
    </row>
    <row r="110" ht="15.75" customHeight="1">
      <c r="A110" s="41" t="n">
        <v>101</v>
      </c>
      <c r="B110" s="80" t="n"/>
      <c r="C110" s="85" t="n"/>
      <c r="D110" s="85" t="n"/>
      <c r="E110" s="44" t="n">
        <v>0</v>
      </c>
      <c r="F110" s="44" t="n">
        <v>0</v>
      </c>
      <c r="G110" s="45">
        <f>MIN(100, (SUM(E110:F110)))</f>
        <v/>
      </c>
      <c r="H110" s="44" t="n">
        <v>0</v>
      </c>
      <c r="I110" s="44" t="n">
        <v>0</v>
      </c>
      <c r="J110" s="45">
        <f>MIN(100,(SUM(H110:I110)))</f>
        <v/>
      </c>
      <c r="K110" s="44" t="n">
        <v>0</v>
      </c>
      <c r="L110" s="44" t="n">
        <v>0</v>
      </c>
      <c r="M110" s="45">
        <f>MIN(100,(SUM(K110:L110)))</f>
        <v/>
      </c>
      <c r="N110" s="44" t="n">
        <v>0</v>
      </c>
      <c r="O110" s="44" t="n">
        <v>0</v>
      </c>
      <c r="P110" s="46">
        <f>MIN(500, (SUM(G110,J110,M110,N110,O110)))</f>
        <v/>
      </c>
      <c r="Q110" s="47">
        <f>P110/500*100</f>
        <v/>
      </c>
      <c r="R110" s="48">
        <f>MIN(50, (ROUNDUP(SUM(Q110)/2,0)))</f>
        <v/>
      </c>
      <c r="S110" s="49" t="n">
        <v>0</v>
      </c>
      <c r="T110" s="48">
        <f>MIN(50, (ROUNDUP(SUM(S110)/2,0)))</f>
        <v/>
      </c>
      <c r="U110" s="50">
        <f>MIN(100, (SUM(R110,T110)))</f>
        <v/>
      </c>
      <c r="V110" s="51">
        <f>(U110/100)</f>
        <v/>
      </c>
      <c r="W110" s="52">
        <f>IF(U110&gt;=80,"4.0",IF(U110&gt;=70,"3.5",IF(U110&gt;=65,"3.0",IF(U110&gt;=60,"2.5",IF(U110&gt;=55,"2.0",IF(U110&gt;=50,"1.5",IF(U110&gt;=45,"1.0",IF(U110&gt;=40,"0.5",IF(U110&lt;40,"0.0")))))))))</f>
        <v/>
      </c>
      <c r="X110" s="53">
        <f>IF(U110&gt;=80,"A1",IF(U110&gt;=70,"B2",IF(U110&gt;=65,"B3",IF(U110&gt;=60,"C4",IF(U110&gt;=55,"C5",IF(U110&gt;=50,"C6",IF(U110&gt;=45,"D7",IF(U110&gt;=40,"E8",IF(U110&lt;40,"F9")))))))))</f>
        <v/>
      </c>
      <c r="Z110" s="71" t="n"/>
      <c r="AA110" s="71" t="n"/>
      <c r="AB110" s="71" t="n"/>
      <c r="AC110" s="71" t="n"/>
      <c r="AD110" s="71" t="n"/>
    </row>
    <row r="111" ht="15.75" customHeight="1">
      <c r="A111" s="41" t="n">
        <v>102</v>
      </c>
      <c r="B111" s="80" t="n"/>
      <c r="C111" s="85" t="n"/>
      <c r="D111" s="85" t="n"/>
      <c r="E111" s="44" t="n">
        <v>0</v>
      </c>
      <c r="F111" s="44" t="n">
        <v>0</v>
      </c>
      <c r="G111" s="45">
        <f>MIN(100, (SUM(E111:F111)))</f>
        <v/>
      </c>
      <c r="H111" s="44" t="n">
        <v>0</v>
      </c>
      <c r="I111" s="44" t="n">
        <v>0</v>
      </c>
      <c r="J111" s="45">
        <f>MIN(100,(SUM(H111:I111)))</f>
        <v/>
      </c>
      <c r="K111" s="44" t="n">
        <v>0</v>
      </c>
      <c r="L111" s="44" t="n">
        <v>0</v>
      </c>
      <c r="M111" s="45">
        <f>MIN(100,(SUM(K111:L111)))</f>
        <v/>
      </c>
      <c r="N111" s="44" t="n">
        <v>0</v>
      </c>
      <c r="O111" s="44" t="n">
        <v>0</v>
      </c>
      <c r="P111" s="46">
        <f>MIN(500, (SUM(G111,J111,M111,N111,O111)))</f>
        <v/>
      </c>
      <c r="Q111" s="47">
        <f>P111/500*100</f>
        <v/>
      </c>
      <c r="R111" s="48">
        <f>MIN(50, (ROUNDUP(SUM(Q111)/2,0)))</f>
        <v/>
      </c>
      <c r="S111" s="49" t="n">
        <v>0</v>
      </c>
      <c r="T111" s="48">
        <f>MIN(50, (ROUNDUP(SUM(S111)/2,0)))</f>
        <v/>
      </c>
      <c r="U111" s="50">
        <f>MIN(100, (SUM(R111,T111)))</f>
        <v/>
      </c>
      <c r="V111" s="51">
        <f>(U111/100)</f>
        <v/>
      </c>
      <c r="W111" s="52">
        <f>IF(U111&gt;=80,"4.0",IF(U111&gt;=70,"3.5",IF(U111&gt;=65,"3.0",IF(U111&gt;=60,"2.5",IF(U111&gt;=55,"2.0",IF(U111&gt;=50,"1.5",IF(U111&gt;=45,"1.0",IF(U111&gt;=40,"0.5",IF(U111&lt;40,"0.0")))))))))</f>
        <v/>
      </c>
      <c r="X111" s="53">
        <f>IF(U111&gt;=80,"A1",IF(U111&gt;=70,"B2",IF(U111&gt;=65,"B3",IF(U111&gt;=60,"C4",IF(U111&gt;=55,"C5",IF(U111&gt;=50,"C6",IF(U111&gt;=45,"D7",IF(U111&gt;=40,"E8",IF(U111&lt;40,"F9")))))))))</f>
        <v/>
      </c>
      <c r="Z111" s="71" t="n"/>
      <c r="AA111" s="71" t="n"/>
      <c r="AB111" s="71" t="n"/>
      <c r="AC111" s="71" t="n"/>
      <c r="AD111" s="71" t="n"/>
    </row>
    <row r="112" ht="15.75" customHeight="1">
      <c r="A112" s="41" t="n">
        <v>103</v>
      </c>
      <c r="B112" s="80" t="n"/>
      <c r="C112" s="85" t="n"/>
      <c r="D112" s="85" t="n"/>
      <c r="E112" s="44" t="n">
        <v>0</v>
      </c>
      <c r="F112" s="44" t="n">
        <v>0</v>
      </c>
      <c r="G112" s="45">
        <f>MIN(100, (SUM(E112:F112)))</f>
        <v/>
      </c>
      <c r="H112" s="44" t="n">
        <v>0</v>
      </c>
      <c r="I112" s="44" t="n">
        <v>0</v>
      </c>
      <c r="J112" s="45">
        <f>MIN(100,(SUM(H112:I112)))</f>
        <v/>
      </c>
      <c r="K112" s="44" t="n">
        <v>0</v>
      </c>
      <c r="L112" s="44" t="n">
        <v>0</v>
      </c>
      <c r="M112" s="45">
        <f>MIN(100,(SUM(K112:L112)))</f>
        <v/>
      </c>
      <c r="N112" s="44" t="n">
        <v>0</v>
      </c>
      <c r="O112" s="44" t="n">
        <v>0</v>
      </c>
      <c r="P112" s="46">
        <f>MIN(500, (SUM(G112,J112,M112,N112,O112)))</f>
        <v/>
      </c>
      <c r="Q112" s="47">
        <f>P112/500*100</f>
        <v/>
      </c>
      <c r="R112" s="48">
        <f>MIN(50, (ROUNDUP(SUM(Q112)/2,0)))</f>
        <v/>
      </c>
      <c r="S112" s="49" t="n">
        <v>0</v>
      </c>
      <c r="T112" s="48">
        <f>MIN(50, (ROUNDUP(SUM(S112)/2,0)))</f>
        <v/>
      </c>
      <c r="U112" s="50">
        <f>MIN(100, (SUM(R112,T112)))</f>
        <v/>
      </c>
      <c r="V112" s="51">
        <f>(U112/100)</f>
        <v/>
      </c>
      <c r="W112" s="52">
        <f>IF(U112&gt;=80,"4.0",IF(U112&gt;=70,"3.5",IF(U112&gt;=65,"3.0",IF(U112&gt;=60,"2.5",IF(U112&gt;=55,"2.0",IF(U112&gt;=50,"1.5",IF(U112&gt;=45,"1.0",IF(U112&gt;=40,"0.5",IF(U112&lt;40,"0.0")))))))))</f>
        <v/>
      </c>
      <c r="X112" s="53">
        <f>IF(U112&gt;=80,"A1",IF(U112&gt;=70,"B2",IF(U112&gt;=65,"B3",IF(U112&gt;=60,"C4",IF(U112&gt;=55,"C5",IF(U112&gt;=50,"C6",IF(U112&gt;=45,"D7",IF(U112&gt;=40,"E8",IF(U112&lt;40,"F9")))))))))</f>
        <v/>
      </c>
      <c r="Z112" s="71" t="n"/>
      <c r="AA112" s="71" t="n"/>
      <c r="AB112" s="71" t="n"/>
      <c r="AC112" s="71" t="n"/>
      <c r="AD112" s="71" t="n"/>
    </row>
    <row r="113" ht="15.75" customHeight="1">
      <c r="A113" s="41" t="n">
        <v>104</v>
      </c>
      <c r="B113" s="80" t="n"/>
      <c r="C113" s="85" t="n"/>
      <c r="D113" s="85" t="n"/>
      <c r="E113" s="44" t="n">
        <v>0</v>
      </c>
      <c r="F113" s="44" t="n">
        <v>0</v>
      </c>
      <c r="G113" s="45">
        <f>MIN(100, (SUM(E113:F113)))</f>
        <v/>
      </c>
      <c r="H113" s="44" t="n">
        <v>0</v>
      </c>
      <c r="I113" s="44" t="n">
        <v>0</v>
      </c>
      <c r="J113" s="45">
        <f>MIN(100,(SUM(H113:I113)))</f>
        <v/>
      </c>
      <c r="K113" s="44" t="n">
        <v>0</v>
      </c>
      <c r="L113" s="44" t="n">
        <v>0</v>
      </c>
      <c r="M113" s="45">
        <f>MIN(100,(SUM(K113:L113)))</f>
        <v/>
      </c>
      <c r="N113" s="44" t="n">
        <v>0</v>
      </c>
      <c r="O113" s="44" t="n">
        <v>0</v>
      </c>
      <c r="P113" s="46">
        <f>MIN(500, (SUM(G113,J113,M113,N113,O113)))</f>
        <v/>
      </c>
      <c r="Q113" s="47">
        <f>P113/500*100</f>
        <v/>
      </c>
      <c r="R113" s="48">
        <f>MIN(50, (ROUNDUP(SUM(Q113)/2,0)))</f>
        <v/>
      </c>
      <c r="S113" s="49" t="n">
        <v>0</v>
      </c>
      <c r="T113" s="48">
        <f>MIN(50, (ROUNDUP(SUM(S113)/2,0)))</f>
        <v/>
      </c>
      <c r="U113" s="50">
        <f>MIN(100, (SUM(R113,T113)))</f>
        <v/>
      </c>
      <c r="V113" s="51">
        <f>(U113/100)</f>
        <v/>
      </c>
      <c r="W113" s="52">
        <f>IF(U113&gt;=80,"4.0",IF(U113&gt;=70,"3.5",IF(U113&gt;=65,"3.0",IF(U113&gt;=60,"2.5",IF(U113&gt;=55,"2.0",IF(U113&gt;=50,"1.5",IF(U113&gt;=45,"1.0",IF(U113&gt;=40,"0.5",IF(U113&lt;40,"0.0")))))))))</f>
        <v/>
      </c>
      <c r="X113" s="53">
        <f>IF(U113&gt;=80,"A1",IF(U113&gt;=70,"B2",IF(U113&gt;=65,"B3",IF(U113&gt;=60,"C4",IF(U113&gt;=55,"C5",IF(U113&gt;=50,"C6",IF(U113&gt;=45,"D7",IF(U113&gt;=40,"E8",IF(U113&lt;40,"F9")))))))))</f>
        <v/>
      </c>
      <c r="Z113" s="71" t="n"/>
      <c r="AA113" s="71" t="n"/>
      <c r="AB113" s="71" t="n"/>
      <c r="AC113" s="71" t="n"/>
      <c r="AD113" s="71" t="n"/>
    </row>
    <row r="114" ht="15.75" customHeight="1">
      <c r="A114" s="41" t="n">
        <v>105</v>
      </c>
      <c r="B114" s="80" t="n"/>
      <c r="C114" s="85" t="n"/>
      <c r="D114" s="85" t="n"/>
      <c r="E114" s="44" t="n">
        <v>0</v>
      </c>
      <c r="F114" s="44" t="n">
        <v>0</v>
      </c>
      <c r="G114" s="45">
        <f>MIN(100, (SUM(E114:F114)))</f>
        <v/>
      </c>
      <c r="H114" s="44" t="n">
        <v>0</v>
      </c>
      <c r="I114" s="44" t="n">
        <v>0</v>
      </c>
      <c r="J114" s="45">
        <f>MIN(100,(SUM(H114:I114)))</f>
        <v/>
      </c>
      <c r="K114" s="44" t="n">
        <v>0</v>
      </c>
      <c r="L114" s="44" t="n">
        <v>0</v>
      </c>
      <c r="M114" s="45">
        <f>MIN(100,(SUM(K114:L114)))</f>
        <v/>
      </c>
      <c r="N114" s="44" t="n">
        <v>0</v>
      </c>
      <c r="O114" s="44" t="n">
        <v>0</v>
      </c>
      <c r="P114" s="46">
        <f>MIN(500, (SUM(G114,J114,M114,N114,O114)))</f>
        <v/>
      </c>
      <c r="Q114" s="47">
        <f>P114/500*100</f>
        <v/>
      </c>
      <c r="R114" s="48">
        <f>MIN(50, (ROUNDUP(SUM(Q114)/2,0)))</f>
        <v/>
      </c>
      <c r="S114" s="49" t="n">
        <v>0</v>
      </c>
      <c r="T114" s="48">
        <f>MIN(50, (ROUNDUP(SUM(S114)/2,0)))</f>
        <v/>
      </c>
      <c r="U114" s="50">
        <f>MIN(100, (SUM(R114,T114)))</f>
        <v/>
      </c>
      <c r="V114" s="51">
        <f>(U114/100)</f>
        <v/>
      </c>
      <c r="W114" s="52">
        <f>IF(U114&gt;=80,"4.0",IF(U114&gt;=70,"3.5",IF(U114&gt;=65,"3.0",IF(U114&gt;=60,"2.5",IF(U114&gt;=55,"2.0",IF(U114&gt;=50,"1.5",IF(U114&gt;=45,"1.0",IF(U114&gt;=40,"0.5",IF(U114&lt;40,"0.0")))))))))</f>
        <v/>
      </c>
      <c r="X114" s="53">
        <f>IF(U114&gt;=80,"A1",IF(U114&gt;=70,"B2",IF(U114&gt;=65,"B3",IF(U114&gt;=60,"C4",IF(U114&gt;=55,"C5",IF(U114&gt;=50,"C6",IF(U114&gt;=45,"D7",IF(U114&gt;=40,"E8",IF(U114&lt;40,"F9")))))))))</f>
        <v/>
      </c>
      <c r="Z114" s="71" t="n"/>
      <c r="AA114" s="71" t="n"/>
      <c r="AB114" s="71" t="n"/>
      <c r="AC114" s="71" t="n"/>
      <c r="AD114" s="71" t="n"/>
    </row>
    <row r="115" ht="15.75" customHeight="1">
      <c r="A115" s="41" t="n">
        <v>106</v>
      </c>
      <c r="B115" s="80" t="n"/>
      <c r="C115" s="85" t="n"/>
      <c r="D115" s="85" t="n"/>
      <c r="E115" s="44" t="n">
        <v>0</v>
      </c>
      <c r="F115" s="44" t="n">
        <v>0</v>
      </c>
      <c r="G115" s="45">
        <f>MIN(100, (SUM(E115:F115)))</f>
        <v/>
      </c>
      <c r="H115" s="44" t="n">
        <v>0</v>
      </c>
      <c r="I115" s="44" t="n">
        <v>0</v>
      </c>
      <c r="J115" s="45">
        <f>MIN(100,(SUM(H115:I115)))</f>
        <v/>
      </c>
      <c r="K115" s="44" t="n">
        <v>0</v>
      </c>
      <c r="L115" s="44" t="n">
        <v>0</v>
      </c>
      <c r="M115" s="45">
        <f>MIN(100,(SUM(K115:L115)))</f>
        <v/>
      </c>
      <c r="N115" s="44" t="n">
        <v>0</v>
      </c>
      <c r="O115" s="44" t="n">
        <v>0</v>
      </c>
      <c r="P115" s="46">
        <f>MIN(500, (SUM(G115,J115,M115,N115,O115)))</f>
        <v/>
      </c>
      <c r="Q115" s="47">
        <f>P115/500*100</f>
        <v/>
      </c>
      <c r="R115" s="48">
        <f>MIN(50, (ROUNDUP(SUM(Q115)/2,0)))</f>
        <v/>
      </c>
      <c r="S115" s="49" t="n">
        <v>0</v>
      </c>
      <c r="T115" s="48">
        <f>MIN(50, (ROUNDUP(SUM(S115)/2,0)))</f>
        <v/>
      </c>
      <c r="U115" s="50">
        <f>MIN(100, (SUM(R115,T115)))</f>
        <v/>
      </c>
      <c r="V115" s="51">
        <f>(U115/100)</f>
        <v/>
      </c>
      <c r="W115" s="52">
        <f>IF(U115&gt;=80,"4.0",IF(U115&gt;=70,"3.5",IF(U115&gt;=65,"3.0",IF(U115&gt;=60,"2.5",IF(U115&gt;=55,"2.0",IF(U115&gt;=50,"1.5",IF(U115&gt;=45,"1.0",IF(U115&gt;=40,"0.5",IF(U115&lt;40,"0.0")))))))))</f>
        <v/>
      </c>
      <c r="X115" s="53">
        <f>IF(U115&gt;=80,"A1",IF(U115&gt;=70,"B2",IF(U115&gt;=65,"B3",IF(U115&gt;=60,"C4",IF(U115&gt;=55,"C5",IF(U115&gt;=50,"C6",IF(U115&gt;=45,"D7",IF(U115&gt;=40,"E8",IF(U115&lt;40,"F9")))))))))</f>
        <v/>
      </c>
      <c r="Z115" s="71" t="n"/>
      <c r="AA115" s="71" t="n"/>
      <c r="AB115" s="71" t="n"/>
      <c r="AC115" s="71" t="n"/>
      <c r="AD115" s="71" t="n"/>
    </row>
    <row r="116" ht="15.75" customHeight="1">
      <c r="A116" s="41" t="n">
        <v>107</v>
      </c>
      <c r="B116" s="80" t="n"/>
      <c r="C116" s="85" t="n"/>
      <c r="D116" s="85" t="n"/>
      <c r="E116" s="44" t="n">
        <v>0</v>
      </c>
      <c r="F116" s="44" t="n">
        <v>0</v>
      </c>
      <c r="G116" s="45">
        <f>MIN(100, (SUM(E116:F116)))</f>
        <v/>
      </c>
      <c r="H116" s="44" t="n">
        <v>0</v>
      </c>
      <c r="I116" s="44" t="n">
        <v>0</v>
      </c>
      <c r="J116" s="45">
        <f>MIN(100,(SUM(H116:I116)))</f>
        <v/>
      </c>
      <c r="K116" s="44" t="n">
        <v>0</v>
      </c>
      <c r="L116" s="44" t="n">
        <v>0</v>
      </c>
      <c r="M116" s="45">
        <f>MIN(100,(SUM(K116:L116)))</f>
        <v/>
      </c>
      <c r="N116" s="44" t="n">
        <v>0</v>
      </c>
      <c r="O116" s="44" t="n">
        <v>0</v>
      </c>
      <c r="P116" s="46">
        <f>MIN(500, (SUM(G116,J116,M116,N116,O116)))</f>
        <v/>
      </c>
      <c r="Q116" s="47">
        <f>P116/500*100</f>
        <v/>
      </c>
      <c r="R116" s="48">
        <f>MIN(50, (ROUNDUP(SUM(Q116)/2,0)))</f>
        <v/>
      </c>
      <c r="S116" s="49" t="n">
        <v>0</v>
      </c>
      <c r="T116" s="48">
        <f>MIN(50, (ROUNDUP(SUM(S116)/2,0)))</f>
        <v/>
      </c>
      <c r="U116" s="50">
        <f>MIN(100, (SUM(R116,T116)))</f>
        <v/>
      </c>
      <c r="V116" s="51">
        <f>(U116/100)</f>
        <v/>
      </c>
      <c r="W116" s="52">
        <f>IF(U116&gt;=80,"4.0",IF(U116&gt;=70,"3.5",IF(U116&gt;=65,"3.0",IF(U116&gt;=60,"2.5",IF(U116&gt;=55,"2.0",IF(U116&gt;=50,"1.5",IF(U116&gt;=45,"1.0",IF(U116&gt;=40,"0.5",IF(U116&lt;40,"0.0")))))))))</f>
        <v/>
      </c>
      <c r="X116" s="53">
        <f>IF(U116&gt;=80,"A1",IF(U116&gt;=70,"B2",IF(U116&gt;=65,"B3",IF(U116&gt;=60,"C4",IF(U116&gt;=55,"C5",IF(U116&gt;=50,"C6",IF(U116&gt;=45,"D7",IF(U116&gt;=40,"E8",IF(U116&lt;40,"F9")))))))))</f>
        <v/>
      </c>
      <c r="Z116" s="71" t="n"/>
      <c r="AA116" s="71" t="n"/>
      <c r="AB116" s="71" t="n"/>
      <c r="AC116" s="71" t="n"/>
      <c r="AD116" s="71" t="n"/>
    </row>
    <row r="117" ht="15.75" customHeight="1">
      <c r="A117" s="41" t="n">
        <v>108</v>
      </c>
      <c r="B117" s="80" t="n"/>
      <c r="C117" s="85" t="n"/>
      <c r="D117" s="85" t="n"/>
      <c r="E117" s="44" t="n">
        <v>0</v>
      </c>
      <c r="F117" s="44" t="n">
        <v>0</v>
      </c>
      <c r="G117" s="45">
        <f>MIN(100, (SUM(E117:F117)))</f>
        <v/>
      </c>
      <c r="H117" s="44" t="n">
        <v>0</v>
      </c>
      <c r="I117" s="44" t="n">
        <v>0</v>
      </c>
      <c r="J117" s="45">
        <f>MIN(100,(SUM(H117:I117)))</f>
        <v/>
      </c>
      <c r="K117" s="44" t="n">
        <v>0</v>
      </c>
      <c r="L117" s="44" t="n">
        <v>0</v>
      </c>
      <c r="M117" s="45">
        <f>MIN(100,(SUM(K117:L117)))</f>
        <v/>
      </c>
      <c r="N117" s="44" t="n">
        <v>0</v>
      </c>
      <c r="O117" s="44" t="n">
        <v>0</v>
      </c>
      <c r="P117" s="46">
        <f>MIN(500, (SUM(G117,J117,M117,N117,O117)))</f>
        <v/>
      </c>
      <c r="Q117" s="47">
        <f>P117/500*100</f>
        <v/>
      </c>
      <c r="R117" s="48">
        <f>MIN(50, (ROUNDUP(SUM(Q117)/2,0)))</f>
        <v/>
      </c>
      <c r="S117" s="49" t="n">
        <v>0</v>
      </c>
      <c r="T117" s="48">
        <f>MIN(50, (ROUNDUP(SUM(S117)/2,0)))</f>
        <v/>
      </c>
      <c r="U117" s="50">
        <f>MIN(100, (SUM(R117,T117)))</f>
        <v/>
      </c>
      <c r="V117" s="51">
        <f>(U117/100)</f>
        <v/>
      </c>
      <c r="W117" s="52">
        <f>IF(U117&gt;=80,"4.0",IF(U117&gt;=70,"3.5",IF(U117&gt;=65,"3.0",IF(U117&gt;=60,"2.5",IF(U117&gt;=55,"2.0",IF(U117&gt;=50,"1.5",IF(U117&gt;=45,"1.0",IF(U117&gt;=40,"0.5",IF(U117&lt;40,"0.0")))))))))</f>
        <v/>
      </c>
      <c r="X117" s="53">
        <f>IF(U117&gt;=80,"A1",IF(U117&gt;=70,"B2",IF(U117&gt;=65,"B3",IF(U117&gt;=60,"C4",IF(U117&gt;=55,"C5",IF(U117&gt;=50,"C6",IF(U117&gt;=45,"D7",IF(U117&gt;=40,"E8",IF(U117&lt;40,"F9")))))))))</f>
        <v/>
      </c>
      <c r="Z117" s="71" t="n"/>
      <c r="AA117" s="71" t="n"/>
      <c r="AB117" s="71" t="n"/>
      <c r="AC117" s="71" t="n"/>
      <c r="AD117" s="71" t="n"/>
    </row>
    <row r="118" ht="15.75" customHeight="1">
      <c r="A118" s="41" t="n">
        <v>109</v>
      </c>
      <c r="B118" s="80" t="n"/>
      <c r="C118" s="85" t="n"/>
      <c r="D118" s="85" t="n"/>
      <c r="E118" s="44" t="n">
        <v>0</v>
      </c>
      <c r="F118" s="44" t="n">
        <v>0</v>
      </c>
      <c r="G118" s="45">
        <f>MIN(100, (SUM(E118:F118)))</f>
        <v/>
      </c>
      <c r="H118" s="44" t="n">
        <v>0</v>
      </c>
      <c r="I118" s="44" t="n">
        <v>0</v>
      </c>
      <c r="J118" s="45">
        <f>MIN(100,(SUM(H118:I118)))</f>
        <v/>
      </c>
      <c r="K118" s="44" t="n">
        <v>0</v>
      </c>
      <c r="L118" s="44" t="n">
        <v>0</v>
      </c>
      <c r="M118" s="45">
        <f>MIN(100,(SUM(K118:L118)))</f>
        <v/>
      </c>
      <c r="N118" s="44" t="n">
        <v>0</v>
      </c>
      <c r="O118" s="44" t="n">
        <v>0</v>
      </c>
      <c r="P118" s="46">
        <f>MIN(500, (SUM(G118,J118,M118,N118,O118)))</f>
        <v/>
      </c>
      <c r="Q118" s="47">
        <f>P118/500*100</f>
        <v/>
      </c>
      <c r="R118" s="48">
        <f>MIN(50, (ROUNDUP(SUM(Q118)/2,0)))</f>
        <v/>
      </c>
      <c r="S118" s="49" t="n">
        <v>0</v>
      </c>
      <c r="T118" s="48">
        <f>MIN(50, (ROUNDUP(SUM(S118)/2,0)))</f>
        <v/>
      </c>
      <c r="U118" s="50">
        <f>MIN(100, (SUM(R118,T118)))</f>
        <v/>
      </c>
      <c r="V118" s="51">
        <f>(U118/100)</f>
        <v/>
      </c>
      <c r="W118" s="52">
        <f>IF(U118&gt;=80,"4.0",IF(U118&gt;=70,"3.5",IF(U118&gt;=65,"3.0",IF(U118&gt;=60,"2.5",IF(U118&gt;=55,"2.0",IF(U118&gt;=50,"1.5",IF(U118&gt;=45,"1.0",IF(U118&gt;=40,"0.5",IF(U118&lt;40,"0.0")))))))))</f>
        <v/>
      </c>
      <c r="X118" s="53">
        <f>IF(U118&gt;=80,"A1",IF(U118&gt;=70,"B2",IF(U118&gt;=65,"B3",IF(U118&gt;=60,"C4",IF(U118&gt;=55,"C5",IF(U118&gt;=50,"C6",IF(U118&gt;=45,"D7",IF(U118&gt;=40,"E8",IF(U118&lt;40,"F9")))))))))</f>
        <v/>
      </c>
      <c r="Z118" s="71" t="n"/>
      <c r="AA118" s="71" t="n"/>
      <c r="AB118" s="71" t="n"/>
      <c r="AC118" s="71" t="n"/>
      <c r="AD118" s="71" t="n"/>
    </row>
    <row r="119" ht="15.75" customHeight="1">
      <c r="A119" s="41" t="n">
        <v>110</v>
      </c>
      <c r="B119" s="80" t="n"/>
      <c r="C119" s="85" t="n"/>
      <c r="D119" s="85" t="n"/>
      <c r="E119" s="44" t="n">
        <v>0</v>
      </c>
      <c r="F119" s="44" t="n">
        <v>0</v>
      </c>
      <c r="G119" s="45">
        <f>MIN(100, (SUM(E119:F119)))</f>
        <v/>
      </c>
      <c r="H119" s="44" t="n">
        <v>0</v>
      </c>
      <c r="I119" s="44" t="n">
        <v>0</v>
      </c>
      <c r="J119" s="45">
        <f>MIN(100,(SUM(H119:I119)))</f>
        <v/>
      </c>
      <c r="K119" s="44" t="n">
        <v>0</v>
      </c>
      <c r="L119" s="44" t="n">
        <v>0</v>
      </c>
      <c r="M119" s="45">
        <f>MIN(100,(SUM(K119:L119)))</f>
        <v/>
      </c>
      <c r="N119" s="44" t="n">
        <v>0</v>
      </c>
      <c r="O119" s="44" t="n">
        <v>0</v>
      </c>
      <c r="P119" s="46">
        <f>MIN(500, (SUM(G119,J119,M119,N119,O119)))</f>
        <v/>
      </c>
      <c r="Q119" s="47">
        <f>P119/500*100</f>
        <v/>
      </c>
      <c r="R119" s="48">
        <f>MIN(50, (ROUNDUP(SUM(Q119)/2,0)))</f>
        <v/>
      </c>
      <c r="S119" s="49" t="n">
        <v>0</v>
      </c>
      <c r="T119" s="48">
        <f>MIN(50, (ROUNDUP(SUM(S119)/2,0)))</f>
        <v/>
      </c>
      <c r="U119" s="50">
        <f>MIN(100, (SUM(R119,T119)))</f>
        <v/>
      </c>
      <c r="V119" s="51">
        <f>(U119/100)</f>
        <v/>
      </c>
      <c r="W119" s="52">
        <f>IF(U119&gt;=80,"4.0",IF(U119&gt;=70,"3.5",IF(U119&gt;=65,"3.0",IF(U119&gt;=60,"2.5",IF(U119&gt;=55,"2.0",IF(U119&gt;=50,"1.5",IF(U119&gt;=45,"1.0",IF(U119&gt;=40,"0.5",IF(U119&lt;40,"0.0")))))))))</f>
        <v/>
      </c>
      <c r="X119" s="53">
        <f>IF(U119&gt;=80,"A1",IF(U119&gt;=70,"B2",IF(U119&gt;=65,"B3",IF(U119&gt;=60,"C4",IF(U119&gt;=55,"C5",IF(U119&gt;=50,"C6",IF(U119&gt;=45,"D7",IF(U119&gt;=40,"E8",IF(U119&lt;40,"F9")))))))))</f>
        <v/>
      </c>
      <c r="Z119" s="71" t="n"/>
      <c r="AA119" s="71" t="n"/>
      <c r="AB119" s="71" t="n"/>
      <c r="AC119" s="71" t="n"/>
      <c r="AD119" s="71" t="n"/>
    </row>
    <row r="120" ht="15.75" customHeight="1">
      <c r="A120" s="41" t="n">
        <v>111</v>
      </c>
      <c r="B120" s="80" t="n"/>
      <c r="C120" s="85" t="n"/>
      <c r="D120" s="85" t="n"/>
      <c r="E120" s="44" t="n">
        <v>0</v>
      </c>
      <c r="F120" s="44" t="n">
        <v>0</v>
      </c>
      <c r="G120" s="45">
        <f>MIN(100, (SUM(E120:F120)))</f>
        <v/>
      </c>
      <c r="H120" s="44" t="n">
        <v>0</v>
      </c>
      <c r="I120" s="44" t="n">
        <v>0</v>
      </c>
      <c r="J120" s="45">
        <f>MIN(100,(SUM(H120:I120)))</f>
        <v/>
      </c>
      <c r="K120" s="44" t="n">
        <v>0</v>
      </c>
      <c r="L120" s="44" t="n">
        <v>0</v>
      </c>
      <c r="M120" s="45">
        <f>MIN(100,(SUM(K120:L120)))</f>
        <v/>
      </c>
      <c r="N120" s="44" t="n">
        <v>0</v>
      </c>
      <c r="O120" s="44" t="n">
        <v>0</v>
      </c>
      <c r="P120" s="46">
        <f>MIN(500, (SUM(G120,J120,M120,N120,O120)))</f>
        <v/>
      </c>
      <c r="Q120" s="47">
        <f>P120/500*100</f>
        <v/>
      </c>
      <c r="R120" s="48">
        <f>MIN(50, (ROUNDUP(SUM(Q120)/2,0)))</f>
        <v/>
      </c>
      <c r="S120" s="49" t="n">
        <v>0</v>
      </c>
      <c r="T120" s="48">
        <f>MIN(50, (ROUNDUP(SUM(S120)/2,0)))</f>
        <v/>
      </c>
      <c r="U120" s="50">
        <f>MIN(100, (SUM(R120,T120)))</f>
        <v/>
      </c>
      <c r="V120" s="51">
        <f>(U120/100)</f>
        <v/>
      </c>
      <c r="W120" s="52">
        <f>IF(U120&gt;=80,"4.0",IF(U120&gt;=70,"3.5",IF(U120&gt;=65,"3.0",IF(U120&gt;=60,"2.5",IF(U120&gt;=55,"2.0",IF(U120&gt;=50,"1.5",IF(U120&gt;=45,"1.0",IF(U120&gt;=40,"0.5",IF(U120&lt;40,"0.0")))))))))</f>
        <v/>
      </c>
      <c r="X120" s="53">
        <f>IF(U120&gt;=80,"A1",IF(U120&gt;=70,"B2",IF(U120&gt;=65,"B3",IF(U120&gt;=60,"C4",IF(U120&gt;=55,"C5",IF(U120&gt;=50,"C6",IF(U120&gt;=45,"D7",IF(U120&gt;=40,"E8",IF(U120&lt;40,"F9")))))))))</f>
        <v/>
      </c>
      <c r="Z120" s="71" t="n"/>
      <c r="AA120" s="71" t="n"/>
      <c r="AB120" s="71" t="n"/>
      <c r="AC120" s="71" t="n"/>
      <c r="AD120" s="71" t="n"/>
    </row>
    <row r="121" ht="15.75" customHeight="1">
      <c r="A121" s="41" t="n">
        <v>112</v>
      </c>
      <c r="B121" s="80" t="n"/>
      <c r="C121" s="85" t="n"/>
      <c r="D121" s="85" t="n"/>
      <c r="E121" s="44" t="n">
        <v>0</v>
      </c>
      <c r="F121" s="44" t="n">
        <v>0</v>
      </c>
      <c r="G121" s="45">
        <f>MIN(100, (SUM(E121:F121)))</f>
        <v/>
      </c>
      <c r="H121" s="44" t="n">
        <v>0</v>
      </c>
      <c r="I121" s="44" t="n">
        <v>0</v>
      </c>
      <c r="J121" s="45">
        <f>MIN(100,(SUM(H121:I121)))</f>
        <v/>
      </c>
      <c r="K121" s="44" t="n">
        <v>0</v>
      </c>
      <c r="L121" s="44" t="n">
        <v>0</v>
      </c>
      <c r="M121" s="45">
        <f>MIN(100,(SUM(K121:L121)))</f>
        <v/>
      </c>
      <c r="N121" s="44" t="n">
        <v>0</v>
      </c>
      <c r="O121" s="44" t="n">
        <v>0</v>
      </c>
      <c r="P121" s="46">
        <f>MIN(500, (SUM(G121,J121,M121,N121,O121)))</f>
        <v/>
      </c>
      <c r="Q121" s="47">
        <f>P121/500*100</f>
        <v/>
      </c>
      <c r="R121" s="48">
        <f>MIN(50, (ROUNDUP(SUM(Q121)/2,0)))</f>
        <v/>
      </c>
      <c r="S121" s="49" t="n">
        <v>0</v>
      </c>
      <c r="T121" s="48">
        <f>MIN(50, (ROUNDUP(SUM(S121)/2,0)))</f>
        <v/>
      </c>
      <c r="U121" s="50">
        <f>MIN(100, (SUM(R121,T121)))</f>
        <v/>
      </c>
      <c r="V121" s="51">
        <f>(U121/100)</f>
        <v/>
      </c>
      <c r="W121" s="52">
        <f>IF(U121&gt;=80,"4.0",IF(U121&gt;=70,"3.5",IF(U121&gt;=65,"3.0",IF(U121&gt;=60,"2.5",IF(U121&gt;=55,"2.0",IF(U121&gt;=50,"1.5",IF(U121&gt;=45,"1.0",IF(U121&gt;=40,"0.5",IF(U121&lt;40,"0.0")))))))))</f>
        <v/>
      </c>
      <c r="X121" s="53">
        <f>IF(U121&gt;=80,"A1",IF(U121&gt;=70,"B2",IF(U121&gt;=65,"B3",IF(U121&gt;=60,"C4",IF(U121&gt;=55,"C5",IF(U121&gt;=50,"C6",IF(U121&gt;=45,"D7",IF(U121&gt;=40,"E8",IF(U121&lt;40,"F9")))))))))</f>
        <v/>
      </c>
      <c r="Z121" s="71" t="n"/>
      <c r="AA121" s="71" t="n"/>
      <c r="AB121" s="71" t="n"/>
      <c r="AC121" s="71" t="n"/>
      <c r="AD121" s="71" t="n"/>
    </row>
    <row r="122">
      <c r="A122" s="86" t="n"/>
      <c r="B122" s="71" t="n"/>
      <c r="C122" s="71" t="n"/>
      <c r="D122" s="87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7" t="n"/>
      <c r="P122" s="87" t="n"/>
      <c r="Q122" s="87" t="n"/>
      <c r="R122" s="87" t="n"/>
      <c r="S122" s="87" t="n"/>
      <c r="T122" s="87" t="n"/>
      <c r="U122" s="87" t="n"/>
      <c r="V122" s="87" t="n"/>
      <c r="W122" s="87" t="n"/>
      <c r="X122" s="87" t="n"/>
      <c r="Y122" s="71" t="n"/>
      <c r="Z122" s="71" t="n"/>
      <c r="AA122" s="71" t="n"/>
      <c r="AB122" s="71" t="n"/>
      <c r="AC122" s="71" t="n"/>
      <c r="AD122" s="71" t="n"/>
      <c r="AE122" s="71" t="n"/>
    </row>
    <row r="123">
      <c r="A123" s="86" t="n"/>
      <c r="B123" s="71" t="n"/>
      <c r="C123" s="71" t="n"/>
      <c r="D123" s="87" t="n"/>
      <c r="E123" s="87" t="n"/>
      <c r="F123" s="87" t="n"/>
      <c r="G123" s="87" t="n"/>
      <c r="H123" s="87" t="n"/>
      <c r="I123" s="87" t="n"/>
      <c r="J123" s="87" t="n"/>
      <c r="K123" s="87" t="n"/>
      <c r="L123" s="87" t="n"/>
      <c r="M123" s="87" t="n"/>
      <c r="N123" s="87" t="n"/>
      <c r="O123" s="87" t="n"/>
      <c r="P123" s="87" t="n"/>
      <c r="Q123" s="87" t="n"/>
      <c r="R123" s="87" t="n"/>
      <c r="S123" s="87" t="n"/>
      <c r="T123" s="87" t="n"/>
      <c r="U123" s="87" t="n"/>
      <c r="V123" s="87" t="n"/>
      <c r="W123" s="87" t="n"/>
      <c r="X123" s="87" t="n"/>
      <c r="Y123" s="71" t="n"/>
      <c r="Z123" s="71" t="n"/>
      <c r="AA123" s="71" t="n"/>
      <c r="AB123" s="71" t="n"/>
      <c r="AC123" s="71" t="n"/>
      <c r="AD123" s="71" t="n"/>
      <c r="AE123" s="71" t="n"/>
    </row>
    <row r="124">
      <c r="A124" s="86" t="n"/>
      <c r="B124" s="71" t="n"/>
      <c r="C124" s="71" t="n"/>
      <c r="D124" s="87" t="n"/>
      <c r="E124" s="87" t="n"/>
      <c r="F124" s="87" t="n"/>
      <c r="G124" s="87" t="n"/>
      <c r="H124" s="87" t="n"/>
      <c r="I124" s="87" t="n"/>
      <c r="J124" s="87" t="n"/>
      <c r="K124" s="87" t="n"/>
      <c r="L124" s="87" t="n"/>
      <c r="M124" s="87" t="n"/>
      <c r="N124" s="87" t="n"/>
      <c r="O124" s="87" t="n"/>
      <c r="P124" s="87" t="n"/>
      <c r="Q124" s="87" t="n"/>
      <c r="R124" s="87" t="n"/>
      <c r="S124" s="87" t="n"/>
      <c r="T124" s="87" t="n"/>
      <c r="U124" s="87" t="n"/>
      <c r="V124" s="87" t="n"/>
      <c r="W124" s="87" t="n"/>
      <c r="X124" s="87" t="n"/>
      <c r="Y124" s="71" t="n"/>
      <c r="Z124" s="71" t="n"/>
      <c r="AA124" s="71" t="n"/>
      <c r="AB124" s="71" t="n"/>
      <c r="AC124" s="71" t="n"/>
      <c r="AD124" s="71" t="n"/>
      <c r="AE124" s="71" t="n"/>
    </row>
    <row r="125">
      <c r="A125" s="88" t="n"/>
      <c r="B125" s="89" t="n"/>
      <c r="C125" s="89" t="n"/>
      <c r="D125" s="89" t="n"/>
      <c r="E125" s="36" t="n"/>
      <c r="F125" s="36" t="n"/>
      <c r="G125" s="90" t="n"/>
      <c r="H125" s="36" t="n"/>
      <c r="I125" s="91" t="n"/>
      <c r="J125" s="91" t="n"/>
      <c r="K125" s="91" t="n"/>
      <c r="L125" s="91" t="n"/>
      <c r="M125" s="90" t="n"/>
      <c r="N125" s="90" t="n"/>
      <c r="O125" s="90" t="n"/>
      <c r="P125" s="92" t="n"/>
      <c r="Q125" s="92" t="n"/>
      <c r="R125" s="92" t="n"/>
      <c r="S125" s="36" t="n"/>
      <c r="T125" s="92" t="n"/>
      <c r="U125" s="93" t="n"/>
      <c r="V125" s="94" t="n"/>
      <c r="W125" s="95" t="n"/>
      <c r="X125" s="36" t="n"/>
      <c r="Z125" s="71" t="n"/>
      <c r="AA125" s="71" t="n"/>
      <c r="AB125" s="71" t="n"/>
      <c r="AC125" s="71" t="n"/>
      <c r="AD125" s="71" t="n"/>
    </row>
    <row r="126">
      <c r="A126" s="96" t="n"/>
      <c r="B126" s="97" t="inlineStr">
        <is>
          <t>Class Average:</t>
        </is>
      </c>
      <c r="C126" s="97" t="n"/>
      <c r="D126" s="97" t="n"/>
      <c r="E126" s="98" t="n"/>
      <c r="F126" s="98" t="n"/>
      <c r="G126" s="98" t="n"/>
      <c r="H126" s="98" t="n"/>
      <c r="I126" s="98" t="n"/>
      <c r="J126" s="98" t="n"/>
      <c r="K126" s="98" t="n"/>
      <c r="L126" s="98" t="n"/>
      <c r="M126" s="98" t="n"/>
      <c r="N126" s="99" t="n"/>
      <c r="O126" s="99" t="n"/>
      <c r="P126" s="98" t="n"/>
      <c r="Q126" s="99" t="n"/>
      <c r="R126" s="98" t="n"/>
      <c r="S126" s="98" t="n"/>
      <c r="T126" s="98" t="n"/>
      <c r="U126" s="98" t="n"/>
      <c r="V126" s="100" t="n"/>
      <c r="W126" s="101" t="e">
        <v>#DIV/0!</v>
      </c>
      <c r="X126" s="102" t="e">
        <v>#DIV/0!</v>
      </c>
      <c r="Z126" s="71" t="n"/>
      <c r="AA126" s="71" t="n"/>
      <c r="AB126" s="71" t="n"/>
      <c r="AC126" s="71" t="n"/>
      <c r="AD126" s="71" t="n"/>
    </row>
    <row r="127">
      <c r="A127" s="96" t="n"/>
      <c r="B127" s="97" t="inlineStr">
        <is>
          <t>Median:</t>
        </is>
      </c>
      <c r="C127" s="97" t="n"/>
      <c r="D127" s="97" t="n"/>
      <c r="E127" s="98" t="n"/>
      <c r="F127" s="98" t="n"/>
      <c r="G127" s="98" t="n"/>
      <c r="H127" s="98" t="n"/>
      <c r="I127" s="98" t="n"/>
      <c r="J127" s="98" t="n"/>
      <c r="K127" s="98" t="n"/>
      <c r="L127" s="98" t="n"/>
      <c r="M127" s="98" t="n"/>
      <c r="N127" s="99" t="n"/>
      <c r="O127" s="99" t="n"/>
      <c r="P127" s="98" t="n"/>
      <c r="Q127" s="99" t="n"/>
      <c r="R127" s="98" t="n"/>
      <c r="S127" s="98" t="n"/>
      <c r="T127" s="98" t="n"/>
      <c r="U127" s="98" t="n"/>
      <c r="V127" s="100" t="n"/>
      <c r="W127" s="101" t="e">
        <v>#NUM!</v>
      </c>
      <c r="Z127" s="71" t="n"/>
      <c r="AA127" s="71" t="n"/>
      <c r="AB127" s="71" t="n"/>
      <c r="AC127" s="71" t="n"/>
      <c r="AD127" s="71" t="n"/>
    </row>
    <row r="128">
      <c r="A128" s="96" t="n"/>
      <c r="B128" s="97" t="inlineStr">
        <is>
          <t>StDev:</t>
        </is>
      </c>
      <c r="C128" s="97" t="n"/>
      <c r="D128" s="97" t="n"/>
      <c r="E128" s="98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9" t="n"/>
      <c r="O128" s="99" t="n"/>
      <c r="P128" s="98" t="n"/>
      <c r="Q128" s="99" t="n"/>
      <c r="R128" s="98" t="n"/>
      <c r="S128" s="98" t="n"/>
      <c r="T128" s="98" t="n"/>
      <c r="U128" s="98" t="n"/>
      <c r="V128" s="100" t="n"/>
      <c r="W128" s="101" t="e">
        <v>#DIV/0!</v>
      </c>
      <c r="X128" s="103" t="inlineStr">
        <is>
          <t>[42]</t>
        </is>
      </c>
    </row>
  </sheetData>
  <mergeCells count="4">
    <mergeCell ref="K6:L6"/>
    <mergeCell ref="E6:F6"/>
    <mergeCell ref="H6:I6"/>
    <mergeCell ref="Z39:AA39"/>
  </mergeCells>
  <dataValidations count="1">
    <dataValidation sqref="AA22" showDropDown="0" showInputMessage="1" showErrorMessage="1" allowBlank="0" type="list">
      <formula1>"Yes,No"</formula1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Derrick Affoh Amoah</dc:creator>
  <dcterms:created xmlns:dcterms="http://purl.org/dc/terms/" xmlns:xsi="http://www.w3.org/2001/XMLSchema-instance" xsi:type="dcterms:W3CDTF">2025-11-16T21:04:11Z</dcterms:created>
  <dcterms:modified xmlns:dcterms="http://purl.org/dc/terms/" xmlns:xsi="http://www.w3.org/2001/XMLSchema-instance" xsi:type="dcterms:W3CDTF">2026-01-02T11:24:26Z</dcterms:modified>
  <cp:lastModifiedBy>Derrick Affoh Amoah</cp:lastModifiedBy>
</cp:coreProperties>
</file>