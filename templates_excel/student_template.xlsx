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HP\Documents\school_assess_app_EXPERIMENTAL\templates_excel\"/>
    </mc:Choice>
  </mc:AlternateContent>
  <xr:revisionPtr revIDLastSave="0" documentId="13_ncr:1_{6F373997-99C6-449F-BC06-08FEC4AF01C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ASSESSMENT TEMPLATE" sheetId="1" r:id="rId1"/>
  </sheets>
  <calcPr calcId="191029"/>
</workbook>
</file>

<file path=xl/calcChain.xml><?xml version="1.0" encoding="utf-8"?>
<calcChain xmlns="http://schemas.openxmlformats.org/spreadsheetml/2006/main">
  <c r="V10" i="1" l="1"/>
  <c r="C7" i="1"/>
  <c r="X12" i="1" l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0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0" i="1"/>
  <c r="G11" i="1"/>
  <c r="P11" i="1" s="1"/>
  <c r="Q11" i="1" s="1"/>
  <c r="R11" i="1" s="1"/>
  <c r="U11" i="1" s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0" i="1"/>
  <c r="P10" i="1" s="1"/>
  <c r="Q10" i="1" s="1"/>
  <c r="R10" i="1" s="1"/>
  <c r="U10" i="1" l="1"/>
  <c r="X11" i="1"/>
  <c r="W11" i="1"/>
  <c r="V11" i="1"/>
  <c r="W10" i="1" l="1"/>
  <c r="X10" i="1"/>
  <c r="AA49" i="1"/>
  <c r="AA48" i="1"/>
  <c r="AA44" i="1"/>
  <c r="AA43" i="1"/>
  <c r="AA47" i="1"/>
  <c r="AA46" i="1"/>
  <c r="AA42" i="1"/>
  <c r="AA45" i="1"/>
  <c r="AA41" i="1"/>
  <c r="AA50" i="1" l="1"/>
</calcChain>
</file>

<file path=xl/sharedStrings.xml><?xml version="1.0" encoding="utf-8"?>
<sst xmlns="http://schemas.openxmlformats.org/spreadsheetml/2006/main" count="94" uniqueCount="80">
  <si>
    <t>SCHOOL:</t>
  </si>
  <si>
    <t>A.M.E ZION GIRLS' SENIOR HIGH SCHOOL-WINNEBA</t>
  </si>
  <si>
    <t>SUBJECT:</t>
  </si>
  <si>
    <t>©2025 derrygee</t>
  </si>
  <si>
    <t>TERM/YEAR:</t>
  </si>
  <si>
    <t>Insert new columns here: ►</t>
  </si>
  <si>
    <t xml:space="preserve">◄ </t>
  </si>
  <si>
    <t>FORM:</t>
  </si>
  <si>
    <t>CONTINOUS ASSESSMENT SHEET - 2025</t>
  </si>
  <si>
    <t>INDIVIDUAL CLASS ASSESSMENT</t>
  </si>
  <si>
    <t>SUB TOTAL (I.C.A.)</t>
  </si>
  <si>
    <t>INDIVIDUAL CLASS PROJECT</t>
  </si>
  <si>
    <t>SUB TOTAL TEST(C.P)</t>
  </si>
  <si>
    <t>GROUP PROJECT/RESEARCH</t>
  </si>
  <si>
    <t>SUB TOTAL (G.P)</t>
  </si>
  <si>
    <t>PRACTICAL PORTFOLIO</t>
  </si>
  <si>
    <t>MID TERM EXAMS</t>
  </si>
  <si>
    <t xml:space="preserve"> TOTAL CLASS SCORE</t>
  </si>
  <si>
    <t>100% OF TOTAL CLASS SCORE</t>
  </si>
  <si>
    <t xml:space="preserve"> AVG. CLASS SC.</t>
  </si>
  <si>
    <t xml:space="preserve"> END OF TERM EXAMS </t>
  </si>
  <si>
    <t xml:space="preserve"> AVG. EXAMS SC.</t>
  </si>
  <si>
    <t>TOTAL 50 + 50</t>
  </si>
  <si>
    <t>TOTAL STUDENTS</t>
  </si>
  <si>
    <t>Points/Weighting:</t>
  </si>
  <si>
    <t>Serial Number</t>
  </si>
  <si>
    <t>Name of Students</t>
  </si>
  <si>
    <t>Ref. Id</t>
  </si>
  <si>
    <t>Study Area</t>
  </si>
  <si>
    <t>%</t>
  </si>
  <si>
    <t>GPA</t>
  </si>
  <si>
    <t>Grade</t>
  </si>
  <si>
    <t>INSTRUCTIONS</t>
  </si>
  <si>
    <t>F9</t>
  </si>
  <si>
    <t>► First, list the names and assign IDs in the Names worksheet.</t>
  </si>
  <si>
    <t>► Edit only the assignment labels, points/weighting, and assignment percentages</t>
  </si>
  <si>
    <t xml:space="preserve">     (the cells with borders and white backgrounds)</t>
  </si>
  <si>
    <t>► Select Yes/No from the Display IDs box below to show either names or IDs.</t>
  </si>
  <si>
    <t>► To insert new columns, copying an existing column and then</t>
  </si>
  <si>
    <t xml:space="preserve">     insert it after column C and before column P.</t>
  </si>
  <si>
    <t>► Grades left blank are considered to be excused or not yet completed.</t>
  </si>
  <si>
    <t xml:space="preserve">     You can also enter an "E" for excused.</t>
  </si>
  <si>
    <t>► A failing grade less than 50% is recorded as 50% so that one F and one A</t>
  </si>
  <si>
    <t xml:space="preserve">     averages to a C instead of averaging to an F.</t>
  </si>
  <si>
    <t>Display IDs ?</t>
  </si>
  <si>
    <t>No</t>
  </si>
  <si>
    <t>DisplayID</t>
  </si>
  <si>
    <t>Percent</t>
  </si>
  <si>
    <t>Performance</t>
  </si>
  <si>
    <t>A1</t>
  </si>
  <si>
    <t>100 - 80%</t>
  </si>
  <si>
    <t>Excellent</t>
  </si>
  <si>
    <t>B2</t>
  </si>
  <si>
    <t>79 - 70%</t>
  </si>
  <si>
    <t>Very Good</t>
  </si>
  <si>
    <t>B3</t>
  </si>
  <si>
    <t>69 - 65%</t>
  </si>
  <si>
    <t>Good</t>
  </si>
  <si>
    <t>C4</t>
  </si>
  <si>
    <t>64 - 60%</t>
  </si>
  <si>
    <t>Credit</t>
  </si>
  <si>
    <t>C5</t>
  </si>
  <si>
    <t>59 - 55%</t>
  </si>
  <si>
    <t>C6</t>
  </si>
  <si>
    <t>54 - 50%</t>
  </si>
  <si>
    <t>Satisfactory</t>
  </si>
  <si>
    <t>D7</t>
  </si>
  <si>
    <t>49 - 45%</t>
  </si>
  <si>
    <t>E8</t>
  </si>
  <si>
    <t>44 - 40%</t>
  </si>
  <si>
    <t>Pass</t>
  </si>
  <si>
    <t>39 - below</t>
  </si>
  <si>
    <t>Fail</t>
  </si>
  <si>
    <t>SUMMARY</t>
  </si>
  <si>
    <t>Count</t>
  </si>
  <si>
    <t>Total</t>
  </si>
  <si>
    <t>Class Average:</t>
  </si>
  <si>
    <t>Median:</t>
  </si>
  <si>
    <t>StDev:</t>
  </si>
  <si>
    <t>[42]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</si>
</sst>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d"/>
    <numFmt numFmtId="165" formatCode="0.0"/>
    <numFmt numFmtId="166" formatCode="0."/>
    <numFmt numFmtId="167" formatCode="General;;&quot;&quot;;@"/>
    <numFmt numFmtId="168" formatCode="0.0%"/>
  </numFmts>
  <fonts count="4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color theme="4" tint="-0.249977111117893"/>
      <name val="Calibri Light"/>
      <family val="2"/>
      <scheme val="major"/>
    </font>
    <font>
      <b/>
      <sz val="18"/>
      <color indexed="60"/>
      <name val="Arial"/>
      <family val="2"/>
    </font>
    <font>
      <sz val="18"/>
      <color indexed="60"/>
      <name val="Trebuchet MS"/>
      <family val="2"/>
    </font>
    <font>
      <b/>
      <sz val="14"/>
      <name val="Arial"/>
      <family val="2"/>
    </font>
    <font>
      <sz val="8"/>
      <name val="Tahoma"/>
      <family val="2"/>
    </font>
    <font>
      <sz val="12"/>
      <name val="Comic Sans MS"/>
      <family val="4"/>
    </font>
    <font>
      <sz val="8"/>
      <color theme="4" tint="-0.249977111117893"/>
      <name val="Arial"/>
      <family val="2"/>
    </font>
    <font>
      <b/>
      <sz val="14"/>
      <name val="Times New Roman"/>
      <family val="1"/>
    </font>
    <font>
      <b/>
      <sz val="12"/>
      <color theme="0"/>
      <name val="Arial"/>
      <family val="2"/>
    </font>
    <font>
      <b/>
      <sz val="11"/>
      <color theme="0"/>
      <name val="Arial"/>
      <family val="2"/>
    </font>
    <font>
      <b/>
      <sz val="8"/>
      <name val="Calibri Light"/>
      <family val="2"/>
      <scheme val="major"/>
    </font>
    <font>
      <sz val="8"/>
      <name val="Calibri Light"/>
      <family val="2"/>
      <scheme val="major"/>
    </font>
    <font>
      <sz val="8"/>
      <color theme="0"/>
      <name val="Calibri Light"/>
      <family val="2"/>
      <scheme val="major"/>
    </font>
    <font>
      <b/>
      <sz val="8"/>
      <color theme="0"/>
      <name val="Calibri Light"/>
      <family val="2"/>
      <scheme val="major"/>
    </font>
    <font>
      <b/>
      <sz val="8"/>
      <name val="Aptos"/>
      <family val="2"/>
    </font>
    <font>
      <b/>
      <sz val="11"/>
      <name val="Comic Sans MS"/>
      <family val="4"/>
    </font>
    <font>
      <sz val="8"/>
      <color indexed="63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Arial"/>
      <family val="2"/>
    </font>
    <font>
      <sz val="10"/>
      <color theme="0"/>
      <name val="Arial"/>
      <family val="2"/>
    </font>
    <font>
      <b/>
      <sz val="8"/>
      <color theme="0"/>
      <name val="Arial"/>
      <family val="2"/>
    </font>
    <font>
      <b/>
      <sz val="11"/>
      <name val="Arial"/>
      <family val="2"/>
    </font>
    <font>
      <b/>
      <sz val="9"/>
      <color theme="4" tint="-0.249977111117893"/>
      <name val="Arial"/>
      <family val="2"/>
    </font>
    <font>
      <sz val="8"/>
      <name val="Arial"/>
      <family val="2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</font>
    <font>
      <sz val="9"/>
      <name val="Arial"/>
      <family val="2"/>
    </font>
    <font>
      <sz val="9"/>
      <color theme="0"/>
      <name val="Arial"/>
      <family val="2"/>
    </font>
    <font>
      <b/>
      <sz val="8"/>
      <color theme="4" tint="-0.249977111117893"/>
      <name val="Arial"/>
      <family val="2"/>
    </font>
    <font>
      <i/>
      <sz val="10"/>
      <color theme="0" tint="-4.9989318521683403E-2"/>
      <name val="Arial"/>
      <family val="2"/>
    </font>
    <font>
      <sz val="10"/>
      <color theme="0" tint="-4.9989318521683403E-2"/>
      <name val="Arial"/>
      <family val="2"/>
    </font>
    <font>
      <b/>
      <sz val="10"/>
      <color indexed="63"/>
      <name val="Arial"/>
      <family val="2"/>
    </font>
    <font>
      <b/>
      <sz val="9"/>
      <color indexed="63"/>
      <name val="Arial"/>
      <family val="2"/>
    </font>
    <font>
      <b/>
      <sz val="12"/>
      <color rgb="FF000000"/>
      <name val="Calibri"/>
      <family val="2"/>
    </font>
    <font>
      <sz val="11"/>
      <color rgb="FF000000"/>
      <name val="Calibri"/>
      <family val="2"/>
    </font>
    <font>
      <b/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name val="Times New Roman"/>
      <family val="1"/>
    </font>
    <font>
      <sz val="8"/>
      <color indexed="9"/>
      <name val="Arial"/>
      <family val="2"/>
    </font>
    <font>
      <i/>
      <sz val="8"/>
      <color indexed="23"/>
      <name val="Arial"/>
      <family val="2"/>
    </font>
    <font>
      <sz val="10"/>
      <color indexed="63"/>
      <name val="Arial"/>
      <family val="2"/>
    </font>
    <font>
      <sz val="10"/>
      <name val="Times New Roman"/>
      <family val="1"/>
    </font>
    <font>
      <b/>
      <sz val="9"/>
      <name val="Comic Sans MS"/>
      <family val="4"/>
    </font>
  </fonts>
  <fills count="16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4D762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0"/>
        <bgColor theme="0" tint="-0.14999847407452621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FF"/>
        <bgColor rgb="FFD9D9D9"/>
      </patternFill>
    </fill>
    <fill>
      <patternFill patternType="solid">
        <fgColor rgb="FFFFFFFF"/>
        <bgColor rgb="FF000000"/>
      </patternFill>
    </fill>
    <fill>
      <patternFill patternType="solid">
        <fgColor theme="4" tint="0.79998168889431442"/>
        <bgColor indexed="64"/>
      </patternFill>
    </fill>
  </fills>
  <borders count="18">
    <border>
      <left/>
      <right/>
      <top/>
      <bottom/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030A0"/>
      </left>
      <right style="thin">
        <color rgb="FF7030A0"/>
      </right>
      <top style="thin">
        <color rgb="FF7030A0"/>
      </top>
      <bottom style="thin">
        <color rgb="FF7030A0"/>
      </bottom>
      <diagonal/>
    </border>
    <border>
      <left/>
      <right/>
      <top style="thin">
        <color theme="1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indexed="64"/>
      </bottom>
      <diagonal/>
    </border>
    <border>
      <left style="thin">
        <color rgb="FF7030A0"/>
      </left>
      <right style="thin">
        <color rgb="FF7030A0"/>
      </right>
      <top/>
      <bottom style="thin">
        <color rgb="FF7030A0"/>
      </bottom>
      <diagonal/>
    </border>
  </borders>
  <cellStyleXfs count="3">
    <xf numFmtId="0" fontId="0" fillId="0" borderId="0"/>
    <xf numFmtId="43" fontId="1" fillId="0" borderId="0"/>
    <xf numFmtId="9" fontId="1" fillId="0" borderId="0"/>
  </cellStyleXfs>
  <cellXfs count="115">
    <xf numFmtId="0" fontId="0" fillId="0" borderId="0" xfId="0"/>
    <xf numFmtId="0" fontId="2" fillId="0" borderId="0" xfId="0" applyFont="1" applyAlignment="1" applyProtection="1">
      <alignment vertical="top"/>
      <protection locked="0"/>
    </xf>
    <xf numFmtId="0" fontId="3" fillId="0" borderId="0" xfId="0" applyFont="1" applyAlignment="1" applyProtection="1">
      <alignment vertical="center"/>
      <protection locked="0"/>
    </xf>
    <xf numFmtId="0" fontId="4" fillId="0" borderId="0" xfId="0" applyFont="1" applyAlignment="1" applyProtection="1">
      <alignment vertical="top"/>
      <protection locked="0"/>
    </xf>
    <xf numFmtId="0" fontId="2" fillId="0" borderId="0" xfId="0" applyFont="1" applyAlignment="1" applyProtection="1">
      <alignment horizontal="center"/>
      <protection locked="0"/>
    </xf>
    <xf numFmtId="0" fontId="2" fillId="0" borderId="0" xfId="0" applyFont="1" applyProtection="1">
      <protection locked="0"/>
    </xf>
    <xf numFmtId="0" fontId="2" fillId="0" borderId="0" xfId="0" applyFont="1" applyAlignment="1" applyProtection="1">
      <alignment horizontal="center" vertical="top"/>
      <protection locked="0"/>
    </xf>
    <xf numFmtId="43" fontId="5" fillId="0" borderId="0" xfId="1" applyFont="1" applyAlignment="1" applyProtection="1">
      <alignment horizontal="left" vertical="center"/>
      <protection locked="0"/>
    </xf>
    <xf numFmtId="0" fontId="6" fillId="0" borderId="0" xfId="0" applyFont="1" applyProtection="1">
      <protection locked="0"/>
    </xf>
    <xf numFmtId="0" fontId="7" fillId="0" borderId="0" xfId="1" applyNumberFormat="1" applyFont="1" applyAlignment="1" applyProtection="1">
      <alignment horizontal="center"/>
      <protection locked="0"/>
    </xf>
    <xf numFmtId="0" fontId="8" fillId="0" borderId="0" xfId="0" applyFont="1" applyProtection="1">
      <protection locked="0"/>
    </xf>
    <xf numFmtId="0" fontId="9" fillId="0" borderId="0" xfId="0" applyFont="1" applyAlignment="1" applyProtection="1">
      <alignment horizontal="center"/>
      <protection locked="0"/>
    </xf>
    <xf numFmtId="0" fontId="10" fillId="0" borderId="0" xfId="0" applyFont="1" applyProtection="1">
      <protection locked="0"/>
    </xf>
    <xf numFmtId="0" fontId="11" fillId="2" borderId="0" xfId="0" applyFont="1" applyFill="1" applyProtection="1">
      <protection locked="0"/>
    </xf>
    <xf numFmtId="0" fontId="12" fillId="2" borderId="0" xfId="0" applyFont="1" applyFill="1" applyAlignment="1" applyProtection="1">
      <alignment horizontal="center"/>
      <protection locked="0"/>
    </xf>
    <xf numFmtId="164" fontId="14" fillId="3" borderId="2" xfId="0" applyNumberFormat="1" applyFont="1" applyFill="1" applyBorder="1" applyAlignment="1" applyProtection="1">
      <alignment horizontal="center" vertical="center" wrapText="1"/>
      <protection locked="0"/>
    </xf>
    <xf numFmtId="164" fontId="14" fillId="0" borderId="2" xfId="0" applyNumberFormat="1" applyFont="1" applyBorder="1" applyAlignment="1" applyProtection="1">
      <alignment horizontal="center" vertical="center" wrapText="1"/>
      <protection locked="0"/>
    </xf>
    <xf numFmtId="0" fontId="14" fillId="4" borderId="2" xfId="0" applyFont="1" applyFill="1" applyBorder="1" applyAlignment="1" applyProtection="1">
      <alignment horizontal="center" vertical="center" wrapText="1"/>
      <protection locked="0"/>
    </xf>
    <xf numFmtId="0" fontId="14" fillId="5" borderId="2" xfId="0" applyFont="1" applyFill="1" applyBorder="1" applyAlignment="1" applyProtection="1">
      <alignment horizontal="center" vertical="center" wrapText="1"/>
      <protection locked="0"/>
    </xf>
    <xf numFmtId="0" fontId="15" fillId="6" borderId="2" xfId="0" applyFont="1" applyFill="1" applyBorder="1" applyAlignment="1" applyProtection="1">
      <alignment horizontal="center" vertical="center" wrapText="1"/>
      <protection locked="0"/>
    </xf>
    <xf numFmtId="0" fontId="14" fillId="0" borderId="2" xfId="0" applyFont="1" applyBorder="1" applyAlignment="1" applyProtection="1">
      <alignment horizontal="center" vertical="center" wrapText="1"/>
      <protection locked="0"/>
    </xf>
    <xf numFmtId="0" fontId="16" fillId="7" borderId="2" xfId="0" applyFont="1" applyFill="1" applyBorder="1" applyAlignment="1" applyProtection="1">
      <alignment horizontal="center" vertical="center" wrapText="1"/>
      <protection locked="0"/>
    </xf>
    <xf numFmtId="0" fontId="2" fillId="0" borderId="0" xfId="0" applyFont="1" applyAlignment="1" applyProtection="1">
      <alignment wrapText="1"/>
      <protection locked="0"/>
    </xf>
    <xf numFmtId="0" fontId="17" fillId="0" borderId="0" xfId="0" applyFont="1" applyAlignment="1" applyProtection="1">
      <alignment horizontal="center" vertical="top" wrapText="1"/>
      <protection locked="0"/>
    </xf>
    <xf numFmtId="0" fontId="18" fillId="0" borderId="3" xfId="2" applyNumberFormat="1" applyFont="1" applyBorder="1" applyAlignment="1" applyProtection="1">
      <alignment horizontal="right"/>
      <protection hidden="1"/>
    </xf>
    <xf numFmtId="0" fontId="19" fillId="0" borderId="0" xfId="0" applyFont="1" applyAlignment="1" applyProtection="1">
      <alignment horizontal="right" vertical="center"/>
      <protection locked="0"/>
    </xf>
    <xf numFmtId="0" fontId="20" fillId="8" borderId="4" xfId="0" applyFont="1" applyFill="1" applyBorder="1" applyAlignment="1" applyProtection="1">
      <alignment horizontal="center"/>
      <protection locked="0"/>
    </xf>
    <xf numFmtId="0" fontId="20" fillId="0" borderId="4" xfId="0" applyFont="1" applyBorder="1" applyAlignment="1" applyProtection="1">
      <alignment horizontal="center"/>
      <protection locked="0"/>
    </xf>
    <xf numFmtId="0" fontId="21" fillId="8" borderId="4" xfId="0" applyFont="1" applyFill="1" applyBorder="1" applyAlignment="1" applyProtection="1">
      <alignment horizontal="center"/>
      <protection locked="0"/>
    </xf>
    <xf numFmtId="0" fontId="20" fillId="8" borderId="4" xfId="2" applyNumberFormat="1" applyFont="1" applyFill="1" applyBorder="1" applyAlignment="1" applyProtection="1">
      <alignment horizontal="center"/>
      <protection locked="0"/>
    </xf>
    <xf numFmtId="0" fontId="21" fillId="8" borderId="4" xfId="2" applyNumberFormat="1" applyFont="1" applyFill="1" applyBorder="1" applyAlignment="1" applyProtection="1">
      <alignment horizontal="center"/>
      <protection locked="0"/>
    </xf>
    <xf numFmtId="0" fontId="22" fillId="8" borderId="4" xfId="2" applyNumberFormat="1" applyFont="1" applyFill="1" applyBorder="1" applyAlignment="1" applyProtection="1">
      <alignment horizontal="center"/>
      <protection locked="0"/>
    </xf>
    <xf numFmtId="0" fontId="2" fillId="2" borderId="0" xfId="0" applyFont="1" applyFill="1" applyProtection="1">
      <protection locked="0"/>
    </xf>
    <xf numFmtId="0" fontId="2" fillId="2" borderId="0" xfId="0" applyFont="1" applyFill="1" applyAlignment="1" applyProtection="1">
      <alignment horizontal="center"/>
      <protection locked="0"/>
    </xf>
    <xf numFmtId="0" fontId="23" fillId="2" borderId="0" xfId="0" applyFont="1" applyFill="1" applyAlignment="1" applyProtection="1">
      <alignment horizontal="center"/>
      <protection locked="0"/>
    </xf>
    <xf numFmtId="0" fontId="24" fillId="2" borderId="0" xfId="0" applyFont="1" applyFill="1" applyAlignment="1" applyProtection="1">
      <alignment horizontal="center"/>
      <protection locked="0"/>
    </xf>
    <xf numFmtId="0" fontId="2" fillId="4" borderId="0" xfId="0" applyFont="1" applyFill="1" applyAlignment="1" applyProtection="1">
      <alignment horizontal="center"/>
      <protection locked="0"/>
    </xf>
    <xf numFmtId="0" fontId="23" fillId="4" borderId="0" xfId="0" applyFont="1" applyFill="1" applyAlignment="1" applyProtection="1">
      <alignment horizontal="center"/>
      <protection locked="0"/>
    </xf>
    <xf numFmtId="0" fontId="24" fillId="4" borderId="0" xfId="0" applyFont="1" applyFill="1" applyAlignment="1" applyProtection="1">
      <alignment horizontal="center"/>
      <protection locked="0"/>
    </xf>
    <xf numFmtId="0" fontId="25" fillId="4" borderId="0" xfId="0" applyFont="1" applyFill="1" applyAlignment="1" applyProtection="1">
      <alignment horizontal="center"/>
      <protection locked="0"/>
    </xf>
    <xf numFmtId="0" fontId="26" fillId="0" borderId="0" xfId="0" applyFont="1" applyAlignment="1" applyProtection="1">
      <alignment vertical="center"/>
      <protection locked="0"/>
    </xf>
    <xf numFmtId="0" fontId="27" fillId="4" borderId="0" xfId="0" applyFont="1" applyFill="1" applyAlignment="1" applyProtection="1">
      <alignment horizontal="center"/>
      <protection hidden="1"/>
    </xf>
    <xf numFmtId="0" fontId="28" fillId="9" borderId="5" xfId="0" applyFont="1" applyFill="1" applyBorder="1" applyProtection="1">
      <protection locked="0"/>
    </xf>
    <xf numFmtId="0" fontId="29" fillId="10" borderId="6" xfId="0" applyFont="1" applyFill="1" applyBorder="1" applyAlignment="1" applyProtection="1">
      <alignment horizontal="left" vertical="center"/>
      <protection locked="0"/>
    </xf>
    <xf numFmtId="1" fontId="30" fillId="0" borderId="3" xfId="2" applyNumberFormat="1" applyFont="1" applyBorder="1" applyAlignment="1" applyProtection="1">
      <alignment horizontal="center"/>
      <protection locked="0"/>
    </xf>
    <xf numFmtId="1" fontId="30" fillId="3" borderId="3" xfId="2" applyNumberFormat="1" applyFont="1" applyFill="1" applyBorder="1" applyAlignment="1" applyProtection="1">
      <alignment horizontal="center"/>
      <protection hidden="1"/>
    </xf>
    <xf numFmtId="1" fontId="30" fillId="4" borderId="3" xfId="2" applyNumberFormat="1" applyFont="1" applyFill="1" applyBorder="1" applyAlignment="1" applyProtection="1">
      <alignment horizontal="center"/>
      <protection hidden="1"/>
    </xf>
    <xf numFmtId="1" fontId="30" fillId="5" borderId="3" xfId="2" applyNumberFormat="1" applyFont="1" applyFill="1" applyBorder="1" applyAlignment="1" applyProtection="1">
      <alignment horizontal="center"/>
      <protection hidden="1"/>
    </xf>
    <xf numFmtId="0" fontId="31" fillId="6" borderId="3" xfId="2" applyNumberFormat="1" applyFont="1" applyFill="1" applyBorder="1" applyAlignment="1" applyProtection="1">
      <alignment horizontal="center"/>
      <protection hidden="1"/>
    </xf>
    <xf numFmtId="0" fontId="30" fillId="0" borderId="3" xfId="2" applyNumberFormat="1" applyFont="1" applyBorder="1" applyAlignment="1" applyProtection="1">
      <alignment horizontal="center"/>
      <protection locked="0"/>
    </xf>
    <xf numFmtId="0" fontId="12" fillId="7" borderId="3" xfId="2" applyNumberFormat="1" applyFont="1" applyFill="1" applyBorder="1" applyAlignment="1" applyProtection="1">
      <alignment horizontal="center"/>
      <protection hidden="1"/>
    </xf>
    <xf numFmtId="9" fontId="2" fillId="3" borderId="0" xfId="2" applyFont="1" applyFill="1" applyProtection="1">
      <protection hidden="1"/>
    </xf>
    <xf numFmtId="0" fontId="0" fillId="5" borderId="0" xfId="0" applyFill="1" applyAlignment="1" applyProtection="1">
      <alignment horizontal="center"/>
      <protection hidden="1"/>
    </xf>
    <xf numFmtId="0" fontId="23" fillId="11" borderId="0" xfId="0" applyFont="1" applyFill="1" applyAlignment="1" applyProtection="1">
      <alignment horizontal="center"/>
      <protection hidden="1"/>
    </xf>
    <xf numFmtId="0" fontId="28" fillId="0" borderId="5" xfId="0" applyFont="1" applyBorder="1" applyProtection="1">
      <protection locked="0"/>
    </xf>
    <xf numFmtId="1" fontId="29" fillId="10" borderId="6" xfId="0" applyNumberFormat="1" applyFont="1" applyFill="1" applyBorder="1" applyAlignment="1" applyProtection="1">
      <alignment horizontal="left" vertical="center"/>
      <protection locked="0"/>
    </xf>
    <xf numFmtId="0" fontId="9" fillId="0" borderId="0" xfId="0" applyFont="1" applyAlignment="1" applyProtection="1">
      <alignment vertical="center"/>
      <protection locked="0"/>
    </xf>
    <xf numFmtId="0" fontId="32" fillId="0" borderId="0" xfId="0" applyFont="1" applyAlignment="1" applyProtection="1">
      <alignment horizontal="right" vertical="center" indent="1"/>
      <protection locked="0"/>
    </xf>
    <xf numFmtId="0" fontId="32" fillId="0" borderId="4" xfId="0" applyFont="1" applyBorder="1" applyAlignment="1" applyProtection="1">
      <alignment horizontal="center" vertical="center"/>
      <protection locked="0"/>
    </xf>
    <xf numFmtId="0" fontId="33" fillId="0" borderId="0" xfId="0" applyFont="1" applyAlignment="1" applyProtection="1">
      <alignment horizontal="right"/>
      <protection locked="0"/>
    </xf>
    <xf numFmtId="0" fontId="34" fillId="0" borderId="0" xfId="0" applyFont="1" applyProtection="1">
      <protection hidden="1"/>
    </xf>
    <xf numFmtId="0" fontId="35" fillId="12" borderId="0" xfId="0" applyFont="1" applyFill="1" applyAlignment="1" applyProtection="1">
      <alignment horizontal="center" vertical="center"/>
      <protection locked="0"/>
    </xf>
    <xf numFmtId="0" fontId="36" fillId="12" borderId="0" xfId="0" applyFont="1" applyFill="1" applyAlignment="1" applyProtection="1">
      <alignment horizontal="left" vertical="center" indent="1"/>
      <protection locked="0"/>
    </xf>
    <xf numFmtId="0" fontId="0" fillId="0" borderId="7" xfId="0" applyBorder="1" applyAlignment="1" applyProtection="1">
      <alignment horizontal="center"/>
      <protection locked="0"/>
    </xf>
    <xf numFmtId="9" fontId="0" fillId="0" borderId="7" xfId="2" applyFont="1" applyBorder="1" applyAlignment="1" applyProtection="1">
      <alignment horizontal="center"/>
      <protection locked="0"/>
    </xf>
    <xf numFmtId="0" fontId="0" fillId="0" borderId="0" xfId="0" applyAlignment="1" applyProtection="1">
      <alignment horizontal="left" indent="1"/>
      <protection locked="0"/>
    </xf>
    <xf numFmtId="165" fontId="0" fillId="0" borderId="7" xfId="2" applyNumberFormat="1" applyFont="1" applyBorder="1" applyAlignment="1" applyProtection="1">
      <alignment horizontal="center"/>
      <protection locked="0"/>
    </xf>
    <xf numFmtId="0" fontId="20" fillId="0" borderId="10" xfId="0" applyFont="1" applyBorder="1" applyAlignment="1" applyProtection="1">
      <alignment horizontal="center"/>
      <protection locked="0"/>
    </xf>
    <xf numFmtId="0" fontId="20" fillId="0" borderId="10" xfId="0" applyFont="1" applyBorder="1" applyAlignment="1" applyProtection="1">
      <alignment horizontal="center" vertical="center"/>
      <protection locked="0"/>
    </xf>
    <xf numFmtId="0" fontId="20" fillId="0" borderId="11" xfId="0" applyFont="1" applyBorder="1" applyAlignment="1" applyProtection="1">
      <alignment horizontal="center" vertical="center"/>
      <protection locked="0"/>
    </xf>
    <xf numFmtId="0" fontId="2" fillId="0" borderId="11" xfId="0" applyFont="1" applyBorder="1" applyAlignment="1" applyProtection="1">
      <alignment horizontal="center" vertical="center"/>
      <protection hidden="1"/>
    </xf>
    <xf numFmtId="0" fontId="0" fillId="0" borderId="0" xfId="0" applyProtection="1">
      <protection locked="0"/>
    </xf>
    <xf numFmtId="1" fontId="29" fillId="8" borderId="6" xfId="0" applyNumberFormat="1" applyFont="1" applyFill="1" applyBorder="1" applyProtection="1">
      <protection locked="0"/>
    </xf>
    <xf numFmtId="0" fontId="20" fillId="0" borderId="12" xfId="0" applyFont="1" applyBorder="1" applyAlignment="1" applyProtection="1">
      <alignment horizontal="center" vertical="center"/>
      <protection locked="0"/>
    </xf>
    <xf numFmtId="0" fontId="2" fillId="0" borderId="12" xfId="0" applyFont="1" applyBorder="1" applyAlignment="1" applyProtection="1">
      <alignment horizontal="center" vertical="center"/>
      <protection hidden="1"/>
    </xf>
    <xf numFmtId="0" fontId="20" fillId="0" borderId="13" xfId="0" applyFont="1" applyBorder="1" applyAlignment="1" applyProtection="1">
      <alignment horizontal="center"/>
      <protection locked="0"/>
    </xf>
    <xf numFmtId="0" fontId="20" fillId="0" borderId="14" xfId="0" applyFont="1" applyBorder="1" applyAlignment="1" applyProtection="1">
      <alignment horizontal="center" vertical="center"/>
      <protection hidden="1"/>
    </xf>
    <xf numFmtId="1" fontId="29" fillId="8" borderId="6" xfId="0" applyNumberFormat="1" applyFont="1" applyFill="1" applyBorder="1" applyAlignment="1" applyProtection="1">
      <alignment horizontal="left"/>
      <protection locked="0"/>
    </xf>
    <xf numFmtId="0" fontId="37" fillId="13" borderId="15" xfId="0" applyFont="1" applyFill="1" applyBorder="1" applyAlignment="1" applyProtection="1">
      <alignment horizontal="left" vertical="center"/>
      <protection locked="0"/>
    </xf>
    <xf numFmtId="0" fontId="38" fillId="14" borderId="15" xfId="0" applyFont="1" applyFill="1" applyBorder="1" applyAlignment="1" applyProtection="1">
      <alignment horizontal="left" vertical="center"/>
      <protection locked="0"/>
    </xf>
    <xf numFmtId="0" fontId="39" fillId="8" borderId="15" xfId="0" applyFont="1" applyFill="1" applyBorder="1" applyProtection="1">
      <protection locked="0"/>
    </xf>
    <xf numFmtId="0" fontId="40" fillId="8" borderId="15" xfId="0" applyFont="1" applyFill="1" applyBorder="1" applyProtection="1">
      <protection locked="0"/>
    </xf>
    <xf numFmtId="0" fontId="39" fillId="10" borderId="15" xfId="0" applyFont="1" applyFill="1" applyBorder="1" applyAlignment="1" applyProtection="1">
      <alignment horizontal="left" vertical="center"/>
      <protection locked="0"/>
    </xf>
    <xf numFmtId="0" fontId="40" fillId="8" borderId="15" xfId="0" applyFont="1" applyFill="1" applyBorder="1" applyAlignment="1" applyProtection="1">
      <alignment horizontal="left" vertical="center"/>
      <protection locked="0"/>
    </xf>
    <xf numFmtId="1" fontId="29" fillId="10" borderId="15" xfId="0" applyNumberFormat="1" applyFont="1" applyFill="1" applyBorder="1" applyAlignment="1" applyProtection="1">
      <alignment horizontal="left" vertical="center"/>
      <protection locked="0"/>
    </xf>
    <xf numFmtId="0" fontId="29" fillId="8" borderId="15" xfId="0" applyFont="1" applyFill="1" applyBorder="1" applyProtection="1">
      <protection locked="0"/>
    </xf>
    <xf numFmtId="166" fontId="27" fillId="4" borderId="0" xfId="0" applyNumberFormat="1" applyFont="1" applyFill="1" applyAlignment="1" applyProtection="1">
      <alignment horizontal="left"/>
      <protection locked="0"/>
    </xf>
    <xf numFmtId="167" fontId="41" fillId="8" borderId="3" xfId="0" applyNumberFormat="1" applyFont="1" applyFill="1" applyBorder="1" applyAlignment="1" applyProtection="1">
      <alignment horizontal="left"/>
      <protection locked="0"/>
    </xf>
    <xf numFmtId="0" fontId="42" fillId="4" borderId="0" xfId="0" applyFont="1" applyFill="1" applyAlignment="1" applyProtection="1">
      <alignment horizontal="right"/>
      <protection locked="0"/>
    </xf>
    <xf numFmtId="0" fontId="43" fillId="4" borderId="0" xfId="0" applyFont="1" applyFill="1" applyAlignment="1" applyProtection="1">
      <alignment horizontal="left"/>
      <protection locked="0"/>
    </xf>
    <xf numFmtId="1" fontId="30" fillId="4" borderId="3" xfId="2" applyNumberFormat="1" applyFont="1" applyFill="1" applyBorder="1" applyAlignment="1" applyProtection="1">
      <alignment horizontal="center"/>
      <protection locked="0"/>
    </xf>
    <xf numFmtId="2" fontId="30" fillId="4" borderId="3" xfId="2" applyNumberFormat="1" applyFont="1" applyFill="1" applyBorder="1" applyAlignment="1" applyProtection="1">
      <alignment horizontal="center"/>
      <protection locked="0"/>
    </xf>
    <xf numFmtId="0" fontId="30" fillId="4" borderId="3" xfId="2" applyNumberFormat="1" applyFont="1" applyFill="1" applyBorder="1" applyAlignment="1" applyProtection="1">
      <alignment horizontal="center"/>
      <protection locked="0"/>
    </xf>
    <xf numFmtId="0" fontId="25" fillId="4" borderId="3" xfId="2" applyNumberFormat="1" applyFont="1" applyFill="1" applyBorder="1" applyAlignment="1" applyProtection="1">
      <alignment horizontal="center"/>
      <protection locked="0"/>
    </xf>
    <xf numFmtId="165" fontId="2" fillId="4" borderId="0" xfId="0" applyNumberFormat="1" applyFont="1" applyFill="1" applyAlignment="1" applyProtection="1">
      <alignment horizontal="center"/>
      <protection locked="0"/>
    </xf>
    <xf numFmtId="168" fontId="2" fillId="4" borderId="0" xfId="2" applyNumberFormat="1" applyFont="1" applyFill="1" applyProtection="1">
      <protection hidden="1"/>
    </xf>
    <xf numFmtId="0" fontId="2" fillId="4" borderId="0" xfId="0" applyFont="1" applyFill="1" applyProtection="1">
      <protection locked="0"/>
    </xf>
    <xf numFmtId="0" fontId="44" fillId="12" borderId="0" xfId="0" applyFont="1" applyFill="1" applyAlignment="1" applyProtection="1">
      <alignment horizontal="right" vertical="center"/>
      <protection locked="0"/>
    </xf>
    <xf numFmtId="0" fontId="30" fillId="15" borderId="0" xfId="2" applyNumberFormat="1" applyFont="1" applyFill="1" applyAlignment="1" applyProtection="1">
      <alignment horizontal="center"/>
      <protection hidden="1"/>
    </xf>
    <xf numFmtId="0" fontId="30" fillId="15" borderId="0" xfId="2" applyNumberFormat="1" applyFont="1" applyFill="1" applyAlignment="1" applyProtection="1">
      <alignment horizontal="center"/>
      <protection locked="0"/>
    </xf>
    <xf numFmtId="165" fontId="2" fillId="15" borderId="0" xfId="0" applyNumberFormat="1" applyFont="1" applyFill="1" applyAlignment="1" applyProtection="1">
      <alignment horizontal="center"/>
      <protection hidden="1"/>
    </xf>
    <xf numFmtId="9" fontId="2" fillId="12" borderId="0" xfId="2" applyFont="1" applyFill="1" applyProtection="1">
      <protection hidden="1"/>
    </xf>
    <xf numFmtId="0" fontId="2" fillId="12" borderId="0" xfId="0" applyFont="1" applyFill="1" applyAlignment="1" applyProtection="1">
      <alignment horizontal="center"/>
      <protection hidden="1"/>
    </xf>
    <xf numFmtId="0" fontId="42" fillId="0" borderId="0" xfId="0" applyFont="1" applyAlignment="1" applyProtection="1">
      <alignment horizontal="center"/>
      <protection locked="0"/>
    </xf>
    <xf numFmtId="0" fontId="46" fillId="0" borderId="0" xfId="0" applyFont="1" applyProtection="1">
      <protection locked="0"/>
    </xf>
    <xf numFmtId="0" fontId="28" fillId="9" borderId="17" xfId="0" applyFont="1" applyFill="1" applyBorder="1" applyProtection="1">
      <protection locked="0"/>
    </xf>
    <xf numFmtId="0" fontId="29" fillId="10" borderId="0" xfId="0" applyFont="1" applyFill="1" applyAlignment="1" applyProtection="1">
      <alignment horizontal="left" vertical="center"/>
      <protection locked="0"/>
    </xf>
    <xf numFmtId="0" fontId="45" fillId="2" borderId="4" xfId="0" applyFont="1" applyFill="1" applyBorder="1" applyProtection="1">
      <protection locked="0"/>
    </xf>
    <xf numFmtId="0" fontId="10" fillId="4" borderId="4" xfId="0" applyFont="1" applyFill="1" applyBorder="1" applyProtection="1">
      <protection locked="0"/>
    </xf>
    <xf numFmtId="0" fontId="10" fillId="4" borderId="4" xfId="0" applyFont="1" applyFill="1" applyBorder="1" applyAlignment="1" applyProtection="1">
      <alignment horizontal="center" vertical="center"/>
      <protection locked="0"/>
    </xf>
    <xf numFmtId="164" fontId="14" fillId="0" borderId="16" xfId="0" applyNumberFormat="1" applyFont="1" applyBorder="1" applyAlignment="1" applyProtection="1">
      <alignment horizontal="center" vertical="center" wrapText="1"/>
      <protection locked="0"/>
    </xf>
    <xf numFmtId="0" fontId="0" fillId="0" borderId="1" xfId="0" applyBorder="1" applyProtection="1">
      <protection locked="0"/>
    </xf>
    <xf numFmtId="164" fontId="13" fillId="0" borderId="16" xfId="0" applyNumberFormat="1" applyFont="1" applyBorder="1" applyAlignment="1" applyProtection="1">
      <alignment horizontal="center" vertical="center" wrapText="1"/>
      <protection locked="0"/>
    </xf>
    <xf numFmtId="0" fontId="20" fillId="0" borderId="8" xfId="0" applyFont="1" applyBorder="1" applyAlignment="1" applyProtection="1">
      <alignment horizontal="center" vertical="center"/>
      <protection locked="0"/>
    </xf>
    <xf numFmtId="0" fontId="20" fillId="0" borderId="9" xfId="0" applyFont="1" applyBorder="1" applyAlignment="1" applyProtection="1">
      <alignment horizontal="center" vertical="center"/>
      <protection locked="0"/>
    </xf>
  </cellXfs>
  <cellStyles count="3">
    <cellStyle name="Comma" xfId="1" builtinId="3"/>
    <cellStyle name="Normal" xfId="0" builtinId="0"/>
    <cellStyle name="Percent" xfId="2" builtinId="5"/>
  </cellStyles>
  <dxfs count="6">
    <dxf>
      <font>
        <strike val="0"/>
        <condense val="0"/>
        <extend val="0"/>
        <outline val="0"/>
        <shadow val="0"/>
        <vertAlign val="baseline"/>
        <sz val="10"/>
        <color auto="1"/>
        <name val="Arial"/>
      </font>
      <numFmt numFmtId="165" formatCode="0.0"/>
      <alignment horizontal="center" vertical="bottom"/>
      <border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  <protection locked="0" hidden="0"/>
    </dxf>
    <dxf>
      <alignment horizontal="left" vertical="bottom" indent="1"/>
      <protection locked="0" hidden="0"/>
    </dxf>
    <dxf>
      <font>
        <strike val="0"/>
        <condense val="0"/>
        <extend val="0"/>
        <outline val="0"/>
        <shadow val="0"/>
        <vertAlign val="baseline"/>
        <sz val="10"/>
        <color auto="1"/>
        <name val="Arial"/>
      </font>
      <alignment horizontal="center" vertical="bottom"/>
      <border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  <protection locked="0" hidden="0"/>
    </dxf>
    <dxf>
      <alignment horizontal="center" vertical="bottom"/>
      <border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  <protection locked="0" hidden="0"/>
    </dxf>
    <dxf>
      <protection locked="0" hidden="0"/>
    </dxf>
    <dxf>
      <font>
        <b/>
        <strike val="0"/>
        <condense val="0"/>
        <extend val="0"/>
        <outline val="0"/>
        <shadow val="0"/>
        <vertAlign val="baseline"/>
        <sz val="10"/>
        <color indexed="63"/>
        <name val="Arial"/>
      </font>
      <fill>
        <patternFill patternType="solid">
          <fgColor indexed="64"/>
          <bgColor theme="4" tint="0.59999389629810485"/>
        </patternFill>
      </fill>
      <alignment horizontal="center" vertical="center"/>
      <protection locked="0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34290</xdr:colOff>
      <xdr:row>0</xdr:row>
      <xdr:rowOff>0</xdr:rowOff>
    </xdr:from>
    <xdr:to>
      <xdr:col>25</xdr:col>
      <xdr:colOff>375286</xdr:colOff>
      <xdr:row>1</xdr:row>
      <xdr:rowOff>156211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17722215" y="0"/>
          <a:ext cx="340996" cy="34671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25</xdr:col>
      <xdr:colOff>331470</xdr:colOff>
      <xdr:row>0</xdr:row>
      <xdr:rowOff>0</xdr:rowOff>
    </xdr:from>
    <xdr:to>
      <xdr:col>25</xdr:col>
      <xdr:colOff>571500</xdr:colOff>
      <xdr:row>1</xdr:row>
      <xdr:rowOff>115253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8019395" y="0"/>
          <a:ext cx="240030" cy="305753"/>
        </a:xfrm>
        <a:prstGeom prst="rect">
          <a:avLst/>
        </a:prstGeom>
        <a:ln>
          <a:prstDash val="solid"/>
        </a:ln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2" displayName="Table2" ref="Z27:AC36" totalsRowShown="0" headerRowDxfId="5" dataDxfId="4">
  <autoFilter ref="Z27:AC36" xr:uid="{00000000-0009-0000-0100-000001000000}"/>
  <tableColumns count="4">
    <tableColumn id="1" xr3:uid="{00000000-0010-0000-0000-000001000000}" name="Grade" dataDxfId="3"/>
    <tableColumn id="2" xr3:uid="{00000000-0010-0000-0000-000002000000}" name="Percent" dataDxfId="2" dataCellStyle="Percent"/>
    <tableColumn id="3" xr3:uid="{00000000-0010-0000-0000-000003000000}" name="Performance" dataDxfId="1"/>
    <tableColumn id="4" xr3:uid="{00000000-0010-0000-0000-000004000000}" name="GPA" dataDxfId="0" dataCellStyle="Percent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Violet II">
      <a:dk1>
        <a:sysClr val="windowText" lastClr="000000"/>
      </a:dk1>
      <a:lt1>
        <a:sysClr val="window" lastClr="FFFFFF"/>
      </a:lt1>
      <a:dk2>
        <a:srgbClr val="632E62"/>
      </a:dk2>
      <a:lt2>
        <a:srgbClr val="EAE5EB"/>
      </a:lt2>
      <a:accent1>
        <a:srgbClr val="92278F"/>
      </a:accent1>
      <a:accent2>
        <a:srgbClr val="9B57D3"/>
      </a:accent2>
      <a:accent3>
        <a:srgbClr val="755DD9"/>
      </a:accent3>
      <a:accent4>
        <a:srgbClr val="665EB8"/>
      </a:accent4>
      <a:accent5>
        <a:srgbClr val="45A5ED"/>
      </a:accent5>
      <a:accent6>
        <a:srgbClr val="5982DB"/>
      </a:accent6>
      <a:hlink>
        <a:srgbClr val="0066FF"/>
      </a:hlink>
      <a:folHlink>
        <a:srgbClr val="666699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28"/>
  <sheetViews>
    <sheetView tabSelected="1" topLeftCell="L1" workbookViewId="0">
      <selection activeCell="V10" sqref="V10"/>
    </sheetView>
  </sheetViews>
  <sheetFormatPr defaultRowHeight="15" x14ac:dyDescent="0.25"/>
  <cols>
    <col min="1" max="1" width="12.42578125" style="5" customWidth="1"/>
    <col min="2" max="2" width="34.85546875" style="5" customWidth="1"/>
    <col min="3" max="3" width="18.42578125" style="5" customWidth="1"/>
    <col min="4" max="4" width="20.140625" style="5" customWidth="1"/>
    <col min="5" max="5" width="8.140625" style="4" customWidth="1"/>
    <col min="6" max="6" width="9.140625" style="4" customWidth="1"/>
    <col min="7" max="9" width="7" style="4" customWidth="1"/>
    <col min="10" max="10" width="7.85546875" style="4" customWidth="1"/>
    <col min="11" max="11" width="7" style="4" customWidth="1"/>
    <col min="12" max="12" width="7.85546875" style="4" customWidth="1"/>
    <col min="13" max="13" width="7" style="4" customWidth="1"/>
    <col min="14" max="15" width="11.5703125" style="4" customWidth="1"/>
    <col min="16" max="16" width="8.85546875" style="4" customWidth="1"/>
    <col min="17" max="17" width="13.28515625" style="4" customWidth="1"/>
    <col min="18" max="18" width="7.7109375" style="4" customWidth="1"/>
    <col min="19" max="19" width="11.85546875" style="4" customWidth="1"/>
    <col min="20" max="21" width="7" style="4" customWidth="1"/>
    <col min="22" max="22" width="11.140625" style="5" customWidth="1"/>
    <col min="23" max="23" width="10.28515625" style="5" customWidth="1"/>
    <col min="24" max="24" width="9.140625" style="4" customWidth="1"/>
    <col min="25" max="25" width="5.28515625" style="5" customWidth="1"/>
    <col min="26" max="26" width="11.7109375" style="5" customWidth="1"/>
    <col min="27" max="27" width="10.140625" style="5" customWidth="1"/>
    <col min="28" max="28" width="15.5703125" style="5" customWidth="1"/>
    <col min="29" max="31" width="9.140625" style="5" customWidth="1"/>
  </cols>
  <sheetData>
    <row r="1" spans="1:31" ht="23.25" customHeight="1" x14ac:dyDescent="0.25">
      <c r="A1" s="104" t="s">
        <v>0</v>
      </c>
      <c r="B1" s="2" t="s">
        <v>1</v>
      </c>
      <c r="C1" s="2"/>
      <c r="D1" s="3"/>
      <c r="E1" s="3"/>
      <c r="X1" s="6"/>
      <c r="Y1" s="1"/>
      <c r="Z1" s="7"/>
      <c r="AA1" s="1"/>
      <c r="AB1" s="1"/>
      <c r="AC1" s="1"/>
      <c r="AD1" s="1"/>
      <c r="AE1" s="1"/>
    </row>
    <row r="2" spans="1:31" ht="18" customHeight="1" x14ac:dyDescent="0.25">
      <c r="A2" s="104" t="s">
        <v>2</v>
      </c>
      <c r="B2" s="8"/>
      <c r="C2" s="8"/>
      <c r="Z2" s="9" t="s">
        <v>3</v>
      </c>
    </row>
    <row r="3" spans="1:31" ht="19.5" customHeight="1" x14ac:dyDescent="0.4">
      <c r="A3" s="104" t="s">
        <v>4</v>
      </c>
      <c r="B3" s="10"/>
      <c r="C3" s="10"/>
      <c r="T3" s="11" t="s">
        <v>5</v>
      </c>
      <c r="U3" s="11" t="s">
        <v>6</v>
      </c>
    </row>
    <row r="4" spans="1:31" ht="18.75" customHeight="1" x14ac:dyDescent="0.3">
      <c r="A4" s="104" t="s">
        <v>7</v>
      </c>
      <c r="B4" s="12"/>
      <c r="C4" s="12"/>
    </row>
    <row r="5" spans="1:31" ht="15.75" customHeight="1" x14ac:dyDescent="0.25">
      <c r="E5" s="13" t="s">
        <v>8</v>
      </c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</row>
    <row r="6" spans="1:31" ht="33.75" customHeight="1" x14ac:dyDescent="0.25">
      <c r="E6" s="112" t="s">
        <v>9</v>
      </c>
      <c r="F6" s="111"/>
      <c r="G6" s="15" t="s">
        <v>10</v>
      </c>
      <c r="H6" s="110" t="s">
        <v>11</v>
      </c>
      <c r="I6" s="111"/>
      <c r="J6" s="15" t="s">
        <v>12</v>
      </c>
      <c r="K6" s="110" t="s">
        <v>13</v>
      </c>
      <c r="L6" s="111"/>
      <c r="M6" s="15" t="s">
        <v>14</v>
      </c>
      <c r="N6" s="16" t="s">
        <v>15</v>
      </c>
      <c r="O6" s="16" t="s">
        <v>16</v>
      </c>
      <c r="P6" s="17" t="s">
        <v>17</v>
      </c>
      <c r="Q6" s="18" t="s">
        <v>18</v>
      </c>
      <c r="R6" s="19" t="s">
        <v>19</v>
      </c>
      <c r="S6" s="20" t="s">
        <v>20</v>
      </c>
      <c r="T6" s="19" t="s">
        <v>21</v>
      </c>
      <c r="U6" s="21" t="s">
        <v>22</v>
      </c>
      <c r="W6" s="22"/>
    </row>
    <row r="7" spans="1:31" ht="18" customHeight="1" x14ac:dyDescent="0.35">
      <c r="B7" s="23" t="s">
        <v>23</v>
      </c>
      <c r="C7" s="24">
        <f>COUNTA(B10:B110)</f>
        <v>0</v>
      </c>
      <c r="D7" s="25" t="s">
        <v>24</v>
      </c>
      <c r="E7" s="26">
        <v>50</v>
      </c>
      <c r="F7" s="26">
        <v>50</v>
      </c>
      <c r="G7" s="26">
        <v>100</v>
      </c>
      <c r="H7" s="26">
        <v>50</v>
      </c>
      <c r="I7" s="26">
        <v>50</v>
      </c>
      <c r="J7" s="26">
        <v>100</v>
      </c>
      <c r="K7" s="26">
        <v>50</v>
      </c>
      <c r="L7" s="26">
        <v>50</v>
      </c>
      <c r="M7" s="26">
        <v>100</v>
      </c>
      <c r="N7" s="27">
        <v>100</v>
      </c>
      <c r="O7" s="27">
        <v>100</v>
      </c>
      <c r="P7" s="26">
        <v>500</v>
      </c>
      <c r="Q7" s="26">
        <v>100</v>
      </c>
      <c r="R7" s="28">
        <v>50</v>
      </c>
      <c r="S7" s="29">
        <v>100</v>
      </c>
      <c r="T7" s="30">
        <v>50</v>
      </c>
      <c r="U7" s="31">
        <v>100</v>
      </c>
      <c r="V7" s="23"/>
      <c r="W7" s="24"/>
    </row>
    <row r="8" spans="1:31" x14ac:dyDescent="0.25">
      <c r="A8" s="32"/>
      <c r="B8" s="32"/>
      <c r="C8" s="32"/>
      <c r="D8" s="32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4"/>
      <c r="S8" s="33"/>
      <c r="T8" s="34"/>
      <c r="U8" s="35"/>
      <c r="V8" s="32"/>
      <c r="W8" s="32"/>
      <c r="X8" s="33"/>
    </row>
    <row r="9" spans="1:31" ht="18.75" customHeight="1" x14ac:dyDescent="0.3">
      <c r="A9" s="107" t="s">
        <v>25</v>
      </c>
      <c r="B9" s="108" t="s">
        <v>26</v>
      </c>
      <c r="C9" s="108" t="s">
        <v>27</v>
      </c>
      <c r="D9" s="109" t="s">
        <v>28</v>
      </c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7"/>
      <c r="S9" s="36"/>
      <c r="T9" s="37"/>
      <c r="U9" s="38"/>
      <c r="V9" s="39" t="s">
        <v>29</v>
      </c>
      <c r="W9" s="39" t="s">
        <v>30</v>
      </c>
      <c r="X9" s="39" t="s">
        <v>31</v>
      </c>
      <c r="Z9" s="40" t="s">
        <v>32</v>
      </c>
    </row>
    <row r="10" spans="1:31" x14ac:dyDescent="0.25">
      <c r="A10" s="41">
        <v>1</v>
      </c>
      <c r="B10" s="105"/>
      <c r="C10" s="106"/>
      <c r="D10" s="105"/>
      <c r="E10" s="44">
        <v>0</v>
      </c>
      <c r="F10" s="44">
        <v>0</v>
      </c>
      <c r="G10" s="45">
        <f>MIN(100, (SUM(E10:F10)))</f>
        <v>0</v>
      </c>
      <c r="H10" s="44">
        <v>0</v>
      </c>
      <c r="I10" s="44">
        <v>0</v>
      </c>
      <c r="J10" s="45">
        <f>MIN(100,(SUM(H10:I10)))</f>
        <v>0</v>
      </c>
      <c r="K10" s="44">
        <v>0</v>
      </c>
      <c r="L10" s="44">
        <v>0</v>
      </c>
      <c r="M10" s="45">
        <f>MIN(100,(SUM(K10:L10)))</f>
        <v>0</v>
      </c>
      <c r="N10" s="44">
        <v>0</v>
      </c>
      <c r="O10" s="44">
        <v>0</v>
      </c>
      <c r="P10" s="46">
        <f>MIN(500, (SUM(G10,J10,M10,N10,O10)))</f>
        <v>0</v>
      </c>
      <c r="Q10" s="47">
        <f>P10/500*100</f>
        <v>0</v>
      </c>
      <c r="R10" s="48">
        <f>MIN(50, (ROUNDUP(SUM(Q10)/2,0)))</f>
        <v>0</v>
      </c>
      <c r="S10" s="44">
        <v>0</v>
      </c>
      <c r="T10" s="48">
        <f>MIN(50, (ROUNDUP(SUM(S10)/2,0)))</f>
        <v>0</v>
      </c>
      <c r="U10" s="50">
        <f>MIN(100, (SUM(R10,T10)))</f>
        <v>0</v>
      </c>
      <c r="V10" s="51">
        <f>(U10/100)</f>
        <v>0</v>
      </c>
      <c r="W10" s="52" t="str">
        <f>IF(U10&gt;=80,"4.0",IF(U10&gt;=70,"3.5",IF(U10&gt;=65,"3.0",IF(U10&gt;=60,"2.5",IF(U10&gt;=55,"2.0",IF(U10&gt;=50,"1.5",IF(U10&gt;=45,"1.0",IF(U10&gt;=40,"0.5",IF(U10&lt;40,"0.0")))))))))</f>
        <v>0.0</v>
      </c>
      <c r="X10" s="53" t="str">
        <f>IF(U10&gt;=80,"A1",IF(U10&gt;=70,"B2",IF(U10&gt;=65,"B3",IF(U10&gt;=60,"C4",IF(U10&gt;=55,"C5",IF(U10&gt;=50,"C6",IF(U10&gt;=45,"D7",IF(U10&gt;=40,"E8",IF(U10&lt;40,"F9")))))))))</f>
        <v>F9</v>
      </c>
    </row>
    <row r="11" spans="1:31" x14ac:dyDescent="0.25">
      <c r="A11" s="41">
        <v>2</v>
      </c>
      <c r="B11" s="54"/>
      <c r="C11" s="55"/>
      <c r="D11" s="54"/>
      <c r="E11" s="44">
        <v>0</v>
      </c>
      <c r="F11" s="44">
        <v>0</v>
      </c>
      <c r="G11" s="45">
        <f t="shared" ref="G11:G74" si="0">MIN(100, (SUM(E11:F11)))</f>
        <v>0</v>
      </c>
      <c r="H11" s="44">
        <v>0</v>
      </c>
      <c r="I11" s="44">
        <v>0</v>
      </c>
      <c r="J11" s="45">
        <f t="shared" ref="J11:J74" si="1">MIN(100,(SUM(H11:I11)))</f>
        <v>0</v>
      </c>
      <c r="K11" s="44">
        <v>0</v>
      </c>
      <c r="L11" s="44">
        <v>0</v>
      </c>
      <c r="M11" s="45">
        <f t="shared" ref="M11:M74" si="2">MIN(100,(SUM(K11:L11)))</f>
        <v>0</v>
      </c>
      <c r="N11" s="44">
        <v>0</v>
      </c>
      <c r="O11" s="44">
        <v>0</v>
      </c>
      <c r="P11" s="46">
        <f t="shared" ref="P11:P74" si="3">MIN(500, (SUM(G11,J11,M11,N11,O11)))</f>
        <v>0</v>
      </c>
      <c r="Q11" s="47">
        <f t="shared" ref="Q11:Q74" si="4">P11/500*100</f>
        <v>0</v>
      </c>
      <c r="R11" s="48">
        <f t="shared" ref="R11:R74" si="5">MIN(50, (ROUNDUP(SUM(Q11)/2,0)))</f>
        <v>0</v>
      </c>
      <c r="S11" s="44">
        <v>0</v>
      </c>
      <c r="T11" s="48">
        <f t="shared" ref="T11:T74" si="6">MIN(50, (ROUNDUP(SUM(S11)/2,0)))</f>
        <v>0</v>
      </c>
      <c r="U11" s="50">
        <f t="shared" ref="U11:U74" si="7">MIN(100, (SUM(R11,T11)))</f>
        <v>0</v>
      </c>
      <c r="V11" s="51">
        <f t="shared" ref="V11:V74" si="8">(U11/100)</f>
        <v>0</v>
      </c>
      <c r="W11" s="52" t="str">
        <f t="shared" ref="W11:W74" si="9">IF(U11&gt;=80,"4.0",IF(U11&gt;=70,"3.5",IF(U11&gt;=65,"3.0",IF(U11&gt;=60,"2.5",IF(U11&gt;=55,"2.0",IF(U11&gt;=50,"1.5",IF(U11&gt;=45,"1.0",IF(U11&gt;=40,"0.5",IF(U11&lt;40,"0.0")))))))))</f>
        <v>0.0</v>
      </c>
      <c r="X11" s="53" t="str">
        <f t="shared" ref="X11:X74" si="10">IF(U11&gt;=80,"A1",IF(U11&gt;=70,"B2",IF(U11&gt;=65,"B3",IF(U11&gt;=60,"C4",IF(U11&gt;=55,"C5",IF(U11&gt;=50,"C6",IF(U11&gt;=45,"D7",IF(U11&gt;=40,"E8",IF(U11&lt;40,"F9")))))))))</f>
        <v>F9</v>
      </c>
      <c r="Z11" s="56" t="s">
        <v>34</v>
      </c>
    </row>
    <row r="12" spans="1:31" x14ac:dyDescent="0.25">
      <c r="A12" s="41">
        <v>3</v>
      </c>
      <c r="B12" s="42"/>
      <c r="C12" s="55"/>
      <c r="D12" s="42"/>
      <c r="E12" s="44">
        <v>0</v>
      </c>
      <c r="F12" s="44">
        <v>0</v>
      </c>
      <c r="G12" s="45">
        <f t="shared" si="0"/>
        <v>0</v>
      </c>
      <c r="H12" s="44">
        <v>0</v>
      </c>
      <c r="I12" s="44">
        <v>0</v>
      </c>
      <c r="J12" s="45">
        <f t="shared" si="1"/>
        <v>0</v>
      </c>
      <c r="K12" s="44">
        <v>0</v>
      </c>
      <c r="L12" s="44">
        <v>0</v>
      </c>
      <c r="M12" s="45">
        <f t="shared" si="2"/>
        <v>0</v>
      </c>
      <c r="N12" s="44">
        <v>0</v>
      </c>
      <c r="O12" s="44">
        <v>0</v>
      </c>
      <c r="P12" s="46">
        <f t="shared" si="3"/>
        <v>0</v>
      </c>
      <c r="Q12" s="47">
        <f t="shared" si="4"/>
        <v>0</v>
      </c>
      <c r="R12" s="48">
        <f t="shared" si="5"/>
        <v>0</v>
      </c>
      <c r="S12" s="49">
        <v>0</v>
      </c>
      <c r="T12" s="48">
        <f t="shared" si="6"/>
        <v>0</v>
      </c>
      <c r="U12" s="50">
        <f t="shared" si="7"/>
        <v>0</v>
      </c>
      <c r="V12" s="51">
        <f t="shared" si="8"/>
        <v>0</v>
      </c>
      <c r="W12" s="52" t="str">
        <f t="shared" si="9"/>
        <v>0.0</v>
      </c>
      <c r="X12" s="53" t="str">
        <f t="shared" si="10"/>
        <v>F9</v>
      </c>
      <c r="Z12" s="56" t="s">
        <v>35</v>
      </c>
    </row>
    <row r="13" spans="1:31" x14ac:dyDescent="0.25">
      <c r="A13" s="41">
        <v>4</v>
      </c>
      <c r="B13" s="54"/>
      <c r="C13" s="43"/>
      <c r="D13" s="54"/>
      <c r="E13" s="44">
        <v>0</v>
      </c>
      <c r="F13" s="44">
        <v>0</v>
      </c>
      <c r="G13" s="45">
        <f t="shared" si="0"/>
        <v>0</v>
      </c>
      <c r="H13" s="44">
        <v>0</v>
      </c>
      <c r="I13" s="44">
        <v>0</v>
      </c>
      <c r="J13" s="45">
        <f t="shared" si="1"/>
        <v>0</v>
      </c>
      <c r="K13" s="44">
        <v>0</v>
      </c>
      <c r="L13" s="44">
        <v>0</v>
      </c>
      <c r="M13" s="45">
        <f t="shared" si="2"/>
        <v>0</v>
      </c>
      <c r="N13" s="44">
        <v>0</v>
      </c>
      <c r="O13" s="44">
        <v>0</v>
      </c>
      <c r="P13" s="46">
        <f t="shared" si="3"/>
        <v>0</v>
      </c>
      <c r="Q13" s="47">
        <f t="shared" si="4"/>
        <v>0</v>
      </c>
      <c r="R13" s="48">
        <f t="shared" si="5"/>
        <v>0</v>
      </c>
      <c r="S13" s="49">
        <v>0</v>
      </c>
      <c r="T13" s="48">
        <f t="shared" si="6"/>
        <v>0</v>
      </c>
      <c r="U13" s="50">
        <f t="shared" si="7"/>
        <v>0</v>
      </c>
      <c r="V13" s="51">
        <f t="shared" si="8"/>
        <v>0</v>
      </c>
      <c r="W13" s="52" t="str">
        <f t="shared" si="9"/>
        <v>0.0</v>
      </c>
      <c r="X13" s="53" t="str">
        <f t="shared" si="10"/>
        <v>F9</v>
      </c>
      <c r="Z13" s="56" t="s">
        <v>36</v>
      </c>
    </row>
    <row r="14" spans="1:31" x14ac:dyDescent="0.25">
      <c r="A14" s="41">
        <v>5</v>
      </c>
      <c r="B14" s="42"/>
      <c r="C14" s="55"/>
      <c r="D14" s="42"/>
      <c r="E14" s="44">
        <v>0</v>
      </c>
      <c r="F14" s="44">
        <v>0</v>
      </c>
      <c r="G14" s="45">
        <f t="shared" si="0"/>
        <v>0</v>
      </c>
      <c r="H14" s="44">
        <v>0</v>
      </c>
      <c r="I14" s="44">
        <v>0</v>
      </c>
      <c r="J14" s="45">
        <f t="shared" si="1"/>
        <v>0</v>
      </c>
      <c r="K14" s="44">
        <v>0</v>
      </c>
      <c r="L14" s="44">
        <v>0</v>
      </c>
      <c r="M14" s="45">
        <f t="shared" si="2"/>
        <v>0</v>
      </c>
      <c r="N14" s="44">
        <v>0</v>
      </c>
      <c r="O14" s="44">
        <v>0</v>
      </c>
      <c r="P14" s="46">
        <f t="shared" si="3"/>
        <v>0</v>
      </c>
      <c r="Q14" s="47">
        <f t="shared" si="4"/>
        <v>0</v>
      </c>
      <c r="R14" s="48">
        <f t="shared" si="5"/>
        <v>0</v>
      </c>
      <c r="S14" s="49">
        <v>0</v>
      </c>
      <c r="T14" s="48">
        <f t="shared" si="6"/>
        <v>0</v>
      </c>
      <c r="U14" s="50">
        <f t="shared" si="7"/>
        <v>0</v>
      </c>
      <c r="V14" s="51">
        <f t="shared" si="8"/>
        <v>0</v>
      </c>
      <c r="W14" s="52" t="str">
        <f t="shared" si="9"/>
        <v>0.0</v>
      </c>
      <c r="X14" s="53" t="str">
        <f t="shared" si="10"/>
        <v>F9</v>
      </c>
      <c r="Z14" s="56" t="s">
        <v>37</v>
      </c>
    </row>
    <row r="15" spans="1:31" x14ac:dyDescent="0.25">
      <c r="A15" s="41">
        <v>6</v>
      </c>
      <c r="B15" s="54"/>
      <c r="C15" s="55"/>
      <c r="D15" s="54"/>
      <c r="E15" s="44">
        <v>0</v>
      </c>
      <c r="F15" s="44">
        <v>0</v>
      </c>
      <c r="G15" s="45">
        <f t="shared" si="0"/>
        <v>0</v>
      </c>
      <c r="H15" s="44">
        <v>0</v>
      </c>
      <c r="I15" s="44">
        <v>0</v>
      </c>
      <c r="J15" s="45">
        <f t="shared" si="1"/>
        <v>0</v>
      </c>
      <c r="K15" s="44">
        <v>0</v>
      </c>
      <c r="L15" s="44">
        <v>0</v>
      </c>
      <c r="M15" s="45">
        <f t="shared" si="2"/>
        <v>0</v>
      </c>
      <c r="N15" s="44">
        <v>0</v>
      </c>
      <c r="O15" s="44">
        <v>0</v>
      </c>
      <c r="P15" s="46">
        <f t="shared" si="3"/>
        <v>0</v>
      </c>
      <c r="Q15" s="47">
        <f t="shared" si="4"/>
        <v>0</v>
      </c>
      <c r="R15" s="48">
        <f t="shared" si="5"/>
        <v>0</v>
      </c>
      <c r="S15" s="49">
        <v>0</v>
      </c>
      <c r="T15" s="48">
        <f t="shared" si="6"/>
        <v>0</v>
      </c>
      <c r="U15" s="50">
        <f t="shared" si="7"/>
        <v>0</v>
      </c>
      <c r="V15" s="51">
        <f t="shared" si="8"/>
        <v>0</v>
      </c>
      <c r="W15" s="52" t="str">
        <f t="shared" si="9"/>
        <v>0.0</v>
      </c>
      <c r="X15" s="53" t="str">
        <f t="shared" si="10"/>
        <v>F9</v>
      </c>
      <c r="Z15" s="56" t="s">
        <v>38</v>
      </c>
    </row>
    <row r="16" spans="1:31" x14ac:dyDescent="0.25">
      <c r="A16" s="41">
        <v>7</v>
      </c>
      <c r="B16" s="42"/>
      <c r="C16" s="55"/>
      <c r="D16" s="42"/>
      <c r="E16" s="44">
        <v>0</v>
      </c>
      <c r="F16" s="44">
        <v>0</v>
      </c>
      <c r="G16" s="45">
        <f t="shared" si="0"/>
        <v>0</v>
      </c>
      <c r="H16" s="44">
        <v>0</v>
      </c>
      <c r="I16" s="44">
        <v>0</v>
      </c>
      <c r="J16" s="45">
        <f t="shared" si="1"/>
        <v>0</v>
      </c>
      <c r="K16" s="44">
        <v>0</v>
      </c>
      <c r="L16" s="44">
        <v>0</v>
      </c>
      <c r="M16" s="45">
        <f t="shared" si="2"/>
        <v>0</v>
      </c>
      <c r="N16" s="44">
        <v>0</v>
      </c>
      <c r="O16" s="44">
        <v>0</v>
      </c>
      <c r="P16" s="46">
        <f t="shared" si="3"/>
        <v>0</v>
      </c>
      <c r="Q16" s="47">
        <f t="shared" si="4"/>
        <v>0</v>
      </c>
      <c r="R16" s="48">
        <f t="shared" si="5"/>
        <v>0</v>
      </c>
      <c r="S16" s="49">
        <v>0</v>
      </c>
      <c r="T16" s="48">
        <f t="shared" si="6"/>
        <v>0</v>
      </c>
      <c r="U16" s="50">
        <f t="shared" si="7"/>
        <v>0</v>
      </c>
      <c r="V16" s="51">
        <f t="shared" si="8"/>
        <v>0</v>
      </c>
      <c r="W16" s="52" t="str">
        <f t="shared" si="9"/>
        <v>0.0</v>
      </c>
      <c r="X16" s="53" t="str">
        <f t="shared" si="10"/>
        <v>F9</v>
      </c>
      <c r="Z16" s="56" t="s">
        <v>39</v>
      </c>
    </row>
    <row r="17" spans="1:29" x14ac:dyDescent="0.25">
      <c r="A17" s="41">
        <v>8</v>
      </c>
      <c r="B17" s="54"/>
      <c r="C17" s="55"/>
      <c r="D17" s="54"/>
      <c r="E17" s="44">
        <v>0</v>
      </c>
      <c r="F17" s="44">
        <v>0</v>
      </c>
      <c r="G17" s="45">
        <f t="shared" si="0"/>
        <v>0</v>
      </c>
      <c r="H17" s="44">
        <v>0</v>
      </c>
      <c r="I17" s="44">
        <v>0</v>
      </c>
      <c r="J17" s="45">
        <f t="shared" si="1"/>
        <v>0</v>
      </c>
      <c r="K17" s="44">
        <v>0</v>
      </c>
      <c r="L17" s="44">
        <v>0</v>
      </c>
      <c r="M17" s="45">
        <f t="shared" si="2"/>
        <v>0</v>
      </c>
      <c r="N17" s="44">
        <v>0</v>
      </c>
      <c r="O17" s="44">
        <v>0</v>
      </c>
      <c r="P17" s="46">
        <f t="shared" si="3"/>
        <v>0</v>
      </c>
      <c r="Q17" s="47">
        <f t="shared" si="4"/>
        <v>0</v>
      </c>
      <c r="R17" s="48">
        <f t="shared" si="5"/>
        <v>0</v>
      </c>
      <c r="S17" s="49">
        <v>0</v>
      </c>
      <c r="T17" s="48">
        <f t="shared" si="6"/>
        <v>0</v>
      </c>
      <c r="U17" s="50">
        <f t="shared" si="7"/>
        <v>0</v>
      </c>
      <c r="V17" s="51">
        <f t="shared" si="8"/>
        <v>0</v>
      </c>
      <c r="W17" s="52" t="str">
        <f t="shared" si="9"/>
        <v>0.0</v>
      </c>
      <c r="X17" s="53" t="str">
        <f t="shared" si="10"/>
        <v>F9</v>
      </c>
      <c r="Z17" s="56" t="s">
        <v>40</v>
      </c>
    </row>
    <row r="18" spans="1:29" x14ac:dyDescent="0.25">
      <c r="A18" s="41">
        <v>9</v>
      </c>
      <c r="B18" s="42"/>
      <c r="C18" s="55"/>
      <c r="D18" s="42"/>
      <c r="E18" s="44">
        <v>0</v>
      </c>
      <c r="F18" s="44">
        <v>0</v>
      </c>
      <c r="G18" s="45">
        <f t="shared" si="0"/>
        <v>0</v>
      </c>
      <c r="H18" s="44">
        <v>0</v>
      </c>
      <c r="I18" s="44">
        <v>0</v>
      </c>
      <c r="J18" s="45">
        <f t="shared" si="1"/>
        <v>0</v>
      </c>
      <c r="K18" s="44">
        <v>0</v>
      </c>
      <c r="L18" s="44">
        <v>0</v>
      </c>
      <c r="M18" s="45">
        <f t="shared" si="2"/>
        <v>0</v>
      </c>
      <c r="N18" s="44">
        <v>0</v>
      </c>
      <c r="O18" s="44">
        <v>0</v>
      </c>
      <c r="P18" s="46">
        <f t="shared" si="3"/>
        <v>0</v>
      </c>
      <c r="Q18" s="47">
        <f t="shared" si="4"/>
        <v>0</v>
      </c>
      <c r="R18" s="48">
        <f t="shared" si="5"/>
        <v>0</v>
      </c>
      <c r="S18" s="49">
        <v>0</v>
      </c>
      <c r="T18" s="48">
        <f t="shared" si="6"/>
        <v>0</v>
      </c>
      <c r="U18" s="50">
        <f t="shared" si="7"/>
        <v>0</v>
      </c>
      <c r="V18" s="51">
        <f t="shared" si="8"/>
        <v>0</v>
      </c>
      <c r="W18" s="52" t="str">
        <f t="shared" si="9"/>
        <v>0.0</v>
      </c>
      <c r="X18" s="53" t="str">
        <f t="shared" si="10"/>
        <v>F9</v>
      </c>
      <c r="Z18" s="56" t="s">
        <v>41</v>
      </c>
    </row>
    <row r="19" spans="1:29" x14ac:dyDescent="0.25">
      <c r="A19" s="41">
        <v>10</v>
      </c>
      <c r="B19" s="54"/>
      <c r="C19" s="55"/>
      <c r="D19" s="54"/>
      <c r="E19" s="44">
        <v>0</v>
      </c>
      <c r="F19" s="44">
        <v>0</v>
      </c>
      <c r="G19" s="45">
        <f t="shared" si="0"/>
        <v>0</v>
      </c>
      <c r="H19" s="44">
        <v>0</v>
      </c>
      <c r="I19" s="44">
        <v>0</v>
      </c>
      <c r="J19" s="45">
        <f t="shared" si="1"/>
        <v>0</v>
      </c>
      <c r="K19" s="44">
        <v>0</v>
      </c>
      <c r="L19" s="44">
        <v>0</v>
      </c>
      <c r="M19" s="45">
        <f t="shared" si="2"/>
        <v>0</v>
      </c>
      <c r="N19" s="44">
        <v>0</v>
      </c>
      <c r="O19" s="44">
        <v>0</v>
      </c>
      <c r="P19" s="46">
        <f t="shared" si="3"/>
        <v>0</v>
      </c>
      <c r="Q19" s="47">
        <f t="shared" si="4"/>
        <v>0</v>
      </c>
      <c r="R19" s="48">
        <f t="shared" si="5"/>
        <v>0</v>
      </c>
      <c r="S19" s="49">
        <v>0</v>
      </c>
      <c r="T19" s="48">
        <f t="shared" si="6"/>
        <v>0</v>
      </c>
      <c r="U19" s="50">
        <f t="shared" si="7"/>
        <v>0</v>
      </c>
      <c r="V19" s="51">
        <f t="shared" si="8"/>
        <v>0</v>
      </c>
      <c r="W19" s="52" t="str">
        <f t="shared" si="9"/>
        <v>0.0</v>
      </c>
      <c r="X19" s="53" t="str">
        <f t="shared" si="10"/>
        <v>F9</v>
      </c>
      <c r="Z19" s="56" t="s">
        <v>42</v>
      </c>
    </row>
    <row r="20" spans="1:29" x14ac:dyDescent="0.25">
      <c r="A20" s="41">
        <v>11</v>
      </c>
      <c r="B20" s="42"/>
      <c r="C20" s="55"/>
      <c r="D20" s="42"/>
      <c r="E20" s="44">
        <v>0</v>
      </c>
      <c r="F20" s="44">
        <v>0</v>
      </c>
      <c r="G20" s="45">
        <f t="shared" si="0"/>
        <v>0</v>
      </c>
      <c r="H20" s="44">
        <v>0</v>
      </c>
      <c r="I20" s="44">
        <v>0</v>
      </c>
      <c r="J20" s="45">
        <f t="shared" si="1"/>
        <v>0</v>
      </c>
      <c r="K20" s="44">
        <v>0</v>
      </c>
      <c r="L20" s="44">
        <v>0</v>
      </c>
      <c r="M20" s="45">
        <f t="shared" si="2"/>
        <v>0</v>
      </c>
      <c r="N20" s="44">
        <v>0</v>
      </c>
      <c r="O20" s="44">
        <v>0</v>
      </c>
      <c r="P20" s="46">
        <f t="shared" si="3"/>
        <v>0</v>
      </c>
      <c r="Q20" s="47">
        <f t="shared" si="4"/>
        <v>0</v>
      </c>
      <c r="R20" s="48">
        <f t="shared" si="5"/>
        <v>0</v>
      </c>
      <c r="S20" s="49">
        <v>0</v>
      </c>
      <c r="T20" s="48">
        <f t="shared" si="6"/>
        <v>0</v>
      </c>
      <c r="U20" s="50">
        <f t="shared" si="7"/>
        <v>0</v>
      </c>
      <c r="V20" s="51">
        <f t="shared" si="8"/>
        <v>0</v>
      </c>
      <c r="W20" s="52" t="str">
        <f t="shared" si="9"/>
        <v>0.0</v>
      </c>
      <c r="X20" s="53" t="str">
        <f t="shared" si="10"/>
        <v>F9</v>
      </c>
      <c r="Z20" s="56" t="s">
        <v>43</v>
      </c>
    </row>
    <row r="21" spans="1:29" x14ac:dyDescent="0.25">
      <c r="A21" s="41">
        <v>12</v>
      </c>
      <c r="B21" s="54"/>
      <c r="C21" s="55"/>
      <c r="D21" s="54"/>
      <c r="E21" s="44">
        <v>0</v>
      </c>
      <c r="F21" s="44">
        <v>0</v>
      </c>
      <c r="G21" s="45">
        <f t="shared" si="0"/>
        <v>0</v>
      </c>
      <c r="H21" s="44">
        <v>0</v>
      </c>
      <c r="I21" s="44">
        <v>0</v>
      </c>
      <c r="J21" s="45">
        <f t="shared" si="1"/>
        <v>0</v>
      </c>
      <c r="K21" s="44">
        <v>0</v>
      </c>
      <c r="L21" s="44">
        <v>0</v>
      </c>
      <c r="M21" s="45">
        <f t="shared" si="2"/>
        <v>0</v>
      </c>
      <c r="N21" s="44">
        <v>0</v>
      </c>
      <c r="O21" s="44">
        <v>0</v>
      </c>
      <c r="P21" s="46">
        <f t="shared" si="3"/>
        <v>0</v>
      </c>
      <c r="Q21" s="47">
        <f t="shared" si="4"/>
        <v>0</v>
      </c>
      <c r="R21" s="48">
        <f t="shared" si="5"/>
        <v>0</v>
      </c>
      <c r="S21" s="49">
        <v>0</v>
      </c>
      <c r="T21" s="48">
        <f t="shared" si="6"/>
        <v>0</v>
      </c>
      <c r="U21" s="50">
        <f t="shared" si="7"/>
        <v>0</v>
      </c>
      <c r="V21" s="51">
        <f t="shared" si="8"/>
        <v>0</v>
      </c>
      <c r="W21" s="52" t="str">
        <f t="shared" si="9"/>
        <v>0.0</v>
      </c>
      <c r="X21" s="53" t="str">
        <f t="shared" si="10"/>
        <v>F9</v>
      </c>
      <c r="Z21" s="56"/>
    </row>
    <row r="22" spans="1:29" x14ac:dyDescent="0.25">
      <c r="A22" s="41">
        <v>13</v>
      </c>
      <c r="B22" s="42"/>
      <c r="C22" s="55"/>
      <c r="D22" s="42"/>
      <c r="E22" s="44">
        <v>0</v>
      </c>
      <c r="F22" s="44">
        <v>0</v>
      </c>
      <c r="G22" s="45">
        <f t="shared" si="0"/>
        <v>0</v>
      </c>
      <c r="H22" s="44">
        <v>0</v>
      </c>
      <c r="I22" s="44">
        <v>0</v>
      </c>
      <c r="J22" s="45">
        <f t="shared" si="1"/>
        <v>0</v>
      </c>
      <c r="K22" s="44">
        <v>0</v>
      </c>
      <c r="L22" s="44">
        <v>0</v>
      </c>
      <c r="M22" s="45">
        <f t="shared" si="2"/>
        <v>0</v>
      </c>
      <c r="N22" s="44">
        <v>0</v>
      </c>
      <c r="O22" s="44">
        <v>0</v>
      </c>
      <c r="P22" s="46">
        <f t="shared" si="3"/>
        <v>0</v>
      </c>
      <c r="Q22" s="47">
        <f t="shared" si="4"/>
        <v>0</v>
      </c>
      <c r="R22" s="48">
        <f t="shared" si="5"/>
        <v>0</v>
      </c>
      <c r="S22" s="49">
        <v>0</v>
      </c>
      <c r="T22" s="48">
        <f t="shared" si="6"/>
        <v>0</v>
      </c>
      <c r="U22" s="50">
        <f t="shared" si="7"/>
        <v>0</v>
      </c>
      <c r="V22" s="51">
        <f t="shared" si="8"/>
        <v>0</v>
      </c>
      <c r="W22" s="52" t="str">
        <f t="shared" si="9"/>
        <v>0.0</v>
      </c>
      <c r="X22" s="53" t="str">
        <f t="shared" si="10"/>
        <v>F9</v>
      </c>
      <c r="Z22" s="57" t="s">
        <v>44</v>
      </c>
      <c r="AA22" s="58" t="s">
        <v>45</v>
      </c>
    </row>
    <row r="23" spans="1:29" x14ac:dyDescent="0.25">
      <c r="A23" s="41">
        <v>14</v>
      </c>
      <c r="B23" s="54"/>
      <c r="C23" s="55"/>
      <c r="D23" s="54"/>
      <c r="E23" s="44">
        <v>0</v>
      </c>
      <c r="F23" s="44">
        <v>0</v>
      </c>
      <c r="G23" s="45">
        <f t="shared" si="0"/>
        <v>0</v>
      </c>
      <c r="H23" s="44">
        <v>0</v>
      </c>
      <c r="I23" s="44">
        <v>0</v>
      </c>
      <c r="J23" s="45">
        <f t="shared" si="1"/>
        <v>0</v>
      </c>
      <c r="K23" s="44">
        <v>0</v>
      </c>
      <c r="L23" s="44">
        <v>0</v>
      </c>
      <c r="M23" s="45">
        <f t="shared" si="2"/>
        <v>0</v>
      </c>
      <c r="N23" s="44">
        <v>0</v>
      </c>
      <c r="O23" s="44">
        <v>0</v>
      </c>
      <c r="P23" s="46">
        <f t="shared" si="3"/>
        <v>0</v>
      </c>
      <c r="Q23" s="47">
        <f t="shared" si="4"/>
        <v>0</v>
      </c>
      <c r="R23" s="48">
        <f t="shared" si="5"/>
        <v>0</v>
      </c>
      <c r="S23" s="49">
        <v>0</v>
      </c>
      <c r="T23" s="48">
        <f t="shared" si="6"/>
        <v>0</v>
      </c>
      <c r="U23" s="50">
        <f t="shared" si="7"/>
        <v>0</v>
      </c>
      <c r="V23" s="51">
        <f t="shared" si="8"/>
        <v>0</v>
      </c>
      <c r="W23" s="52" t="str">
        <f t="shared" si="9"/>
        <v>0.0</v>
      </c>
      <c r="X23" s="53" t="str">
        <f t="shared" si="10"/>
        <v>F9</v>
      </c>
    </row>
    <row r="24" spans="1:29" x14ac:dyDescent="0.25">
      <c r="A24" s="41">
        <v>15</v>
      </c>
      <c r="B24" s="42"/>
      <c r="C24" s="55"/>
      <c r="D24" s="42"/>
      <c r="E24" s="44">
        <v>0</v>
      </c>
      <c r="F24" s="44">
        <v>0</v>
      </c>
      <c r="G24" s="45">
        <f t="shared" si="0"/>
        <v>0</v>
      </c>
      <c r="H24" s="44">
        <v>0</v>
      </c>
      <c r="I24" s="44">
        <v>0</v>
      </c>
      <c r="J24" s="45">
        <f t="shared" si="1"/>
        <v>0</v>
      </c>
      <c r="K24" s="44">
        <v>0</v>
      </c>
      <c r="L24" s="44">
        <v>0</v>
      </c>
      <c r="M24" s="45">
        <f t="shared" si="2"/>
        <v>0</v>
      </c>
      <c r="N24" s="44">
        <v>0</v>
      </c>
      <c r="O24" s="44">
        <v>0</v>
      </c>
      <c r="P24" s="46">
        <f t="shared" si="3"/>
        <v>0</v>
      </c>
      <c r="Q24" s="47">
        <f t="shared" si="4"/>
        <v>0</v>
      </c>
      <c r="R24" s="48">
        <f t="shared" si="5"/>
        <v>0</v>
      </c>
      <c r="S24" s="49">
        <v>0</v>
      </c>
      <c r="T24" s="48">
        <f t="shared" si="6"/>
        <v>0</v>
      </c>
      <c r="U24" s="50">
        <f t="shared" si="7"/>
        <v>0</v>
      </c>
      <c r="V24" s="51">
        <f t="shared" si="8"/>
        <v>0</v>
      </c>
      <c r="W24" s="52" t="str">
        <f t="shared" si="9"/>
        <v>0.0</v>
      </c>
      <c r="X24" s="53" t="str">
        <f t="shared" si="10"/>
        <v>F9</v>
      </c>
      <c r="Z24" s="59" t="s">
        <v>46</v>
      </c>
      <c r="AA24" s="60" t="b">
        <v>0</v>
      </c>
    </row>
    <row r="25" spans="1:29" x14ac:dyDescent="0.25">
      <c r="A25" s="41">
        <v>16</v>
      </c>
      <c r="B25" s="54"/>
      <c r="C25" s="55"/>
      <c r="D25" s="54"/>
      <c r="E25" s="44">
        <v>0</v>
      </c>
      <c r="F25" s="44">
        <v>0</v>
      </c>
      <c r="G25" s="45">
        <f t="shared" si="0"/>
        <v>0</v>
      </c>
      <c r="H25" s="44">
        <v>0</v>
      </c>
      <c r="I25" s="44">
        <v>0</v>
      </c>
      <c r="J25" s="45">
        <f t="shared" si="1"/>
        <v>0</v>
      </c>
      <c r="K25" s="44">
        <v>0</v>
      </c>
      <c r="L25" s="44">
        <v>0</v>
      </c>
      <c r="M25" s="45">
        <f t="shared" si="2"/>
        <v>0</v>
      </c>
      <c r="N25" s="44">
        <v>0</v>
      </c>
      <c r="O25" s="44">
        <v>0</v>
      </c>
      <c r="P25" s="46">
        <f t="shared" si="3"/>
        <v>0</v>
      </c>
      <c r="Q25" s="47">
        <f t="shared" si="4"/>
        <v>0</v>
      </c>
      <c r="R25" s="48">
        <f t="shared" si="5"/>
        <v>0</v>
      </c>
      <c r="S25" s="49">
        <v>0</v>
      </c>
      <c r="T25" s="48">
        <f t="shared" si="6"/>
        <v>0</v>
      </c>
      <c r="U25" s="50">
        <f t="shared" si="7"/>
        <v>0</v>
      </c>
      <c r="V25" s="51">
        <f t="shared" si="8"/>
        <v>0</v>
      </c>
      <c r="W25" s="52" t="str">
        <f t="shared" si="9"/>
        <v>0.0</v>
      </c>
      <c r="X25" s="53" t="str">
        <f t="shared" si="10"/>
        <v>F9</v>
      </c>
    </row>
    <row r="26" spans="1:29" x14ac:dyDescent="0.25">
      <c r="A26" s="41">
        <v>17</v>
      </c>
      <c r="B26" s="42"/>
      <c r="C26" s="55"/>
      <c r="D26" s="42"/>
      <c r="E26" s="44">
        <v>0</v>
      </c>
      <c r="F26" s="44">
        <v>0</v>
      </c>
      <c r="G26" s="45">
        <f t="shared" si="0"/>
        <v>0</v>
      </c>
      <c r="H26" s="44">
        <v>0</v>
      </c>
      <c r="I26" s="44">
        <v>0</v>
      </c>
      <c r="J26" s="45">
        <f t="shared" si="1"/>
        <v>0</v>
      </c>
      <c r="K26" s="44">
        <v>0</v>
      </c>
      <c r="L26" s="44">
        <v>0</v>
      </c>
      <c r="M26" s="45">
        <f t="shared" si="2"/>
        <v>0</v>
      </c>
      <c r="N26" s="44">
        <v>0</v>
      </c>
      <c r="O26" s="44">
        <v>0</v>
      </c>
      <c r="P26" s="46">
        <f t="shared" si="3"/>
        <v>0</v>
      </c>
      <c r="Q26" s="47">
        <f t="shared" si="4"/>
        <v>0</v>
      </c>
      <c r="R26" s="48">
        <f t="shared" si="5"/>
        <v>0</v>
      </c>
      <c r="S26" s="49">
        <v>0</v>
      </c>
      <c r="T26" s="48">
        <f t="shared" si="6"/>
        <v>0</v>
      </c>
      <c r="U26" s="50">
        <f t="shared" si="7"/>
        <v>0</v>
      </c>
      <c r="V26" s="51">
        <f t="shared" si="8"/>
        <v>0</v>
      </c>
      <c r="W26" s="52" t="str">
        <f t="shared" si="9"/>
        <v>0.0</v>
      </c>
      <c r="X26" s="53" t="str">
        <f t="shared" si="10"/>
        <v>F9</v>
      </c>
    </row>
    <row r="27" spans="1:29" x14ac:dyDescent="0.25">
      <c r="A27" s="41">
        <v>18</v>
      </c>
      <c r="B27" s="54"/>
      <c r="C27" s="55"/>
      <c r="D27" s="54"/>
      <c r="E27" s="44">
        <v>0</v>
      </c>
      <c r="F27" s="44">
        <v>0</v>
      </c>
      <c r="G27" s="45">
        <f t="shared" si="0"/>
        <v>0</v>
      </c>
      <c r="H27" s="44">
        <v>0</v>
      </c>
      <c r="I27" s="44">
        <v>0</v>
      </c>
      <c r="J27" s="45">
        <f t="shared" si="1"/>
        <v>0</v>
      </c>
      <c r="K27" s="44">
        <v>0</v>
      </c>
      <c r="L27" s="44">
        <v>0</v>
      </c>
      <c r="M27" s="45">
        <f t="shared" si="2"/>
        <v>0</v>
      </c>
      <c r="N27" s="44">
        <v>0</v>
      </c>
      <c r="O27" s="44">
        <v>0</v>
      </c>
      <c r="P27" s="46">
        <f t="shared" si="3"/>
        <v>0</v>
      </c>
      <c r="Q27" s="47">
        <f t="shared" si="4"/>
        <v>0</v>
      </c>
      <c r="R27" s="48">
        <f t="shared" si="5"/>
        <v>0</v>
      </c>
      <c r="S27" s="49">
        <v>0</v>
      </c>
      <c r="T27" s="48">
        <f t="shared" si="6"/>
        <v>0</v>
      </c>
      <c r="U27" s="50">
        <f t="shared" si="7"/>
        <v>0</v>
      </c>
      <c r="V27" s="51">
        <f t="shared" si="8"/>
        <v>0</v>
      </c>
      <c r="W27" s="52" t="str">
        <f t="shared" si="9"/>
        <v>0.0</v>
      </c>
      <c r="X27" s="53" t="str">
        <f t="shared" si="10"/>
        <v>F9</v>
      </c>
      <c r="Z27" s="61" t="s">
        <v>31</v>
      </c>
      <c r="AA27" s="61" t="s">
        <v>47</v>
      </c>
      <c r="AB27" s="62" t="s">
        <v>48</v>
      </c>
      <c r="AC27" s="61" t="s">
        <v>30</v>
      </c>
    </row>
    <row r="28" spans="1:29" x14ac:dyDescent="0.25">
      <c r="A28" s="41">
        <v>19</v>
      </c>
      <c r="B28" s="42"/>
      <c r="C28" s="55"/>
      <c r="D28" s="42"/>
      <c r="E28" s="44">
        <v>0</v>
      </c>
      <c r="F28" s="44">
        <v>0</v>
      </c>
      <c r="G28" s="45">
        <f t="shared" si="0"/>
        <v>0</v>
      </c>
      <c r="H28" s="44">
        <v>0</v>
      </c>
      <c r="I28" s="44">
        <v>0</v>
      </c>
      <c r="J28" s="45">
        <f t="shared" si="1"/>
        <v>0</v>
      </c>
      <c r="K28" s="44">
        <v>0</v>
      </c>
      <c r="L28" s="44">
        <v>0</v>
      </c>
      <c r="M28" s="45">
        <f t="shared" si="2"/>
        <v>0</v>
      </c>
      <c r="N28" s="44">
        <v>0</v>
      </c>
      <c r="O28" s="44">
        <v>0</v>
      </c>
      <c r="P28" s="46">
        <f t="shared" si="3"/>
        <v>0</v>
      </c>
      <c r="Q28" s="47">
        <f t="shared" si="4"/>
        <v>0</v>
      </c>
      <c r="R28" s="48">
        <f t="shared" si="5"/>
        <v>0</v>
      </c>
      <c r="S28" s="49">
        <v>0</v>
      </c>
      <c r="T28" s="48">
        <f t="shared" si="6"/>
        <v>0</v>
      </c>
      <c r="U28" s="50">
        <f t="shared" si="7"/>
        <v>0</v>
      </c>
      <c r="V28" s="51">
        <f t="shared" si="8"/>
        <v>0</v>
      </c>
      <c r="W28" s="52" t="str">
        <f t="shared" si="9"/>
        <v>0.0</v>
      </c>
      <c r="X28" s="53" t="str">
        <f t="shared" si="10"/>
        <v>F9</v>
      </c>
      <c r="Z28" s="63" t="s">
        <v>49</v>
      </c>
      <c r="AA28" s="64" t="s">
        <v>50</v>
      </c>
      <c r="AB28" s="65" t="s">
        <v>51</v>
      </c>
      <c r="AC28" s="66">
        <v>4</v>
      </c>
    </row>
    <row r="29" spans="1:29" x14ac:dyDescent="0.25">
      <c r="A29" s="41">
        <v>20</v>
      </c>
      <c r="B29" s="54"/>
      <c r="C29" s="55"/>
      <c r="D29" s="54"/>
      <c r="E29" s="44">
        <v>0</v>
      </c>
      <c r="F29" s="44">
        <v>0</v>
      </c>
      <c r="G29" s="45">
        <f t="shared" si="0"/>
        <v>0</v>
      </c>
      <c r="H29" s="44">
        <v>0</v>
      </c>
      <c r="I29" s="44">
        <v>0</v>
      </c>
      <c r="J29" s="45">
        <f t="shared" si="1"/>
        <v>0</v>
      </c>
      <c r="K29" s="44">
        <v>0</v>
      </c>
      <c r="L29" s="44">
        <v>0</v>
      </c>
      <c r="M29" s="45">
        <f t="shared" si="2"/>
        <v>0</v>
      </c>
      <c r="N29" s="44">
        <v>0</v>
      </c>
      <c r="O29" s="44">
        <v>0</v>
      </c>
      <c r="P29" s="46">
        <f t="shared" si="3"/>
        <v>0</v>
      </c>
      <c r="Q29" s="47">
        <f t="shared" si="4"/>
        <v>0</v>
      </c>
      <c r="R29" s="48">
        <f t="shared" si="5"/>
        <v>0</v>
      </c>
      <c r="S29" s="49">
        <v>0</v>
      </c>
      <c r="T29" s="48">
        <f t="shared" si="6"/>
        <v>0</v>
      </c>
      <c r="U29" s="50">
        <f t="shared" si="7"/>
        <v>0</v>
      </c>
      <c r="V29" s="51">
        <f t="shared" si="8"/>
        <v>0</v>
      </c>
      <c r="W29" s="52" t="str">
        <f t="shared" si="9"/>
        <v>0.0</v>
      </c>
      <c r="X29" s="53" t="str">
        <f t="shared" si="10"/>
        <v>F9</v>
      </c>
      <c r="Z29" s="63" t="s">
        <v>52</v>
      </c>
      <c r="AA29" s="64" t="s">
        <v>53</v>
      </c>
      <c r="AB29" s="65" t="s">
        <v>54</v>
      </c>
      <c r="AC29" s="66">
        <v>3.5</v>
      </c>
    </row>
    <row r="30" spans="1:29" x14ac:dyDescent="0.25">
      <c r="A30" s="41">
        <v>21</v>
      </c>
      <c r="B30" s="42"/>
      <c r="C30" s="55"/>
      <c r="D30" s="42"/>
      <c r="E30" s="44">
        <v>0</v>
      </c>
      <c r="F30" s="44">
        <v>0</v>
      </c>
      <c r="G30" s="45">
        <f t="shared" si="0"/>
        <v>0</v>
      </c>
      <c r="H30" s="44">
        <v>0</v>
      </c>
      <c r="I30" s="44">
        <v>0</v>
      </c>
      <c r="J30" s="45">
        <f t="shared" si="1"/>
        <v>0</v>
      </c>
      <c r="K30" s="44">
        <v>0</v>
      </c>
      <c r="L30" s="44">
        <v>0</v>
      </c>
      <c r="M30" s="45">
        <f t="shared" si="2"/>
        <v>0</v>
      </c>
      <c r="N30" s="44">
        <v>0</v>
      </c>
      <c r="O30" s="44">
        <v>0</v>
      </c>
      <c r="P30" s="46">
        <f t="shared" si="3"/>
        <v>0</v>
      </c>
      <c r="Q30" s="47">
        <f t="shared" si="4"/>
        <v>0</v>
      </c>
      <c r="R30" s="48">
        <f t="shared" si="5"/>
        <v>0</v>
      </c>
      <c r="S30" s="49">
        <v>0</v>
      </c>
      <c r="T30" s="48">
        <f t="shared" si="6"/>
        <v>0</v>
      </c>
      <c r="U30" s="50">
        <f t="shared" si="7"/>
        <v>0</v>
      </c>
      <c r="V30" s="51">
        <f t="shared" si="8"/>
        <v>0</v>
      </c>
      <c r="W30" s="52" t="str">
        <f t="shared" si="9"/>
        <v>0.0</v>
      </c>
      <c r="X30" s="53" t="str">
        <f t="shared" si="10"/>
        <v>F9</v>
      </c>
      <c r="Z30" s="63" t="s">
        <v>55</v>
      </c>
      <c r="AA30" s="64" t="s">
        <v>56</v>
      </c>
      <c r="AB30" s="65" t="s">
        <v>57</v>
      </c>
      <c r="AC30" s="66">
        <v>3</v>
      </c>
    </row>
    <row r="31" spans="1:29" x14ac:dyDescent="0.25">
      <c r="A31" s="41">
        <v>22</v>
      </c>
      <c r="B31" s="54"/>
      <c r="C31" s="55"/>
      <c r="D31" s="54"/>
      <c r="E31" s="44">
        <v>0</v>
      </c>
      <c r="F31" s="44">
        <v>0</v>
      </c>
      <c r="G31" s="45">
        <f t="shared" si="0"/>
        <v>0</v>
      </c>
      <c r="H31" s="44">
        <v>0</v>
      </c>
      <c r="I31" s="44">
        <v>0</v>
      </c>
      <c r="J31" s="45">
        <f t="shared" si="1"/>
        <v>0</v>
      </c>
      <c r="K31" s="44">
        <v>0</v>
      </c>
      <c r="L31" s="44">
        <v>0</v>
      </c>
      <c r="M31" s="45">
        <f t="shared" si="2"/>
        <v>0</v>
      </c>
      <c r="N31" s="44">
        <v>0</v>
      </c>
      <c r="O31" s="44">
        <v>0</v>
      </c>
      <c r="P31" s="46">
        <f t="shared" si="3"/>
        <v>0</v>
      </c>
      <c r="Q31" s="47">
        <f t="shared" si="4"/>
        <v>0</v>
      </c>
      <c r="R31" s="48">
        <f t="shared" si="5"/>
        <v>0</v>
      </c>
      <c r="S31" s="49">
        <v>0</v>
      </c>
      <c r="T31" s="48">
        <f t="shared" si="6"/>
        <v>0</v>
      </c>
      <c r="U31" s="50">
        <f t="shared" si="7"/>
        <v>0</v>
      </c>
      <c r="V31" s="51">
        <f t="shared" si="8"/>
        <v>0</v>
      </c>
      <c r="W31" s="52" t="str">
        <f t="shared" si="9"/>
        <v>0.0</v>
      </c>
      <c r="X31" s="53" t="str">
        <f t="shared" si="10"/>
        <v>F9</v>
      </c>
      <c r="Z31" s="63" t="s">
        <v>58</v>
      </c>
      <c r="AA31" s="64" t="s">
        <v>59</v>
      </c>
      <c r="AB31" s="65" t="s">
        <v>60</v>
      </c>
      <c r="AC31" s="66">
        <v>2.5</v>
      </c>
    </row>
    <row r="32" spans="1:29" x14ac:dyDescent="0.25">
      <c r="A32" s="41">
        <v>23</v>
      </c>
      <c r="B32" s="42"/>
      <c r="C32" s="55"/>
      <c r="D32" s="42"/>
      <c r="E32" s="44">
        <v>0</v>
      </c>
      <c r="F32" s="44">
        <v>0</v>
      </c>
      <c r="G32" s="45">
        <f t="shared" si="0"/>
        <v>0</v>
      </c>
      <c r="H32" s="44">
        <v>0</v>
      </c>
      <c r="I32" s="44">
        <v>0</v>
      </c>
      <c r="J32" s="45">
        <f t="shared" si="1"/>
        <v>0</v>
      </c>
      <c r="K32" s="44">
        <v>0</v>
      </c>
      <c r="L32" s="44">
        <v>0</v>
      </c>
      <c r="M32" s="45">
        <f t="shared" si="2"/>
        <v>0</v>
      </c>
      <c r="N32" s="44">
        <v>0</v>
      </c>
      <c r="O32" s="44">
        <v>0</v>
      </c>
      <c r="P32" s="46">
        <f t="shared" si="3"/>
        <v>0</v>
      </c>
      <c r="Q32" s="47">
        <f t="shared" si="4"/>
        <v>0</v>
      </c>
      <c r="R32" s="48">
        <f t="shared" si="5"/>
        <v>0</v>
      </c>
      <c r="S32" s="49">
        <v>0</v>
      </c>
      <c r="T32" s="48">
        <f t="shared" si="6"/>
        <v>0</v>
      </c>
      <c r="U32" s="50">
        <f t="shared" si="7"/>
        <v>0</v>
      </c>
      <c r="V32" s="51">
        <f t="shared" si="8"/>
        <v>0</v>
      </c>
      <c r="W32" s="52" t="str">
        <f t="shared" si="9"/>
        <v>0.0</v>
      </c>
      <c r="X32" s="53" t="str">
        <f t="shared" si="10"/>
        <v>F9</v>
      </c>
      <c r="Z32" s="63" t="s">
        <v>61</v>
      </c>
      <c r="AA32" s="64" t="s">
        <v>62</v>
      </c>
      <c r="AB32" s="65" t="s">
        <v>60</v>
      </c>
      <c r="AC32" s="66">
        <v>2</v>
      </c>
    </row>
    <row r="33" spans="1:30" x14ac:dyDescent="0.25">
      <c r="A33" s="41">
        <v>24</v>
      </c>
      <c r="B33" s="54"/>
      <c r="C33" s="55"/>
      <c r="D33" s="54"/>
      <c r="E33" s="44">
        <v>0</v>
      </c>
      <c r="F33" s="44">
        <v>0</v>
      </c>
      <c r="G33" s="45">
        <f t="shared" si="0"/>
        <v>0</v>
      </c>
      <c r="H33" s="44">
        <v>0</v>
      </c>
      <c r="I33" s="44">
        <v>0</v>
      </c>
      <c r="J33" s="45">
        <f t="shared" si="1"/>
        <v>0</v>
      </c>
      <c r="K33" s="44">
        <v>0</v>
      </c>
      <c r="L33" s="44">
        <v>0</v>
      </c>
      <c r="M33" s="45">
        <f t="shared" si="2"/>
        <v>0</v>
      </c>
      <c r="N33" s="44">
        <v>0</v>
      </c>
      <c r="O33" s="44">
        <v>0</v>
      </c>
      <c r="P33" s="46">
        <f t="shared" si="3"/>
        <v>0</v>
      </c>
      <c r="Q33" s="47">
        <f t="shared" si="4"/>
        <v>0</v>
      </c>
      <c r="R33" s="48">
        <f t="shared" si="5"/>
        <v>0</v>
      </c>
      <c r="S33" s="49">
        <v>0</v>
      </c>
      <c r="T33" s="48">
        <f t="shared" si="6"/>
        <v>0</v>
      </c>
      <c r="U33" s="50">
        <f t="shared" si="7"/>
        <v>0</v>
      </c>
      <c r="V33" s="51">
        <f t="shared" si="8"/>
        <v>0</v>
      </c>
      <c r="W33" s="52" t="str">
        <f t="shared" si="9"/>
        <v>0.0</v>
      </c>
      <c r="X33" s="53" t="str">
        <f t="shared" si="10"/>
        <v>F9</v>
      </c>
      <c r="Z33" s="63" t="s">
        <v>63</v>
      </c>
      <c r="AA33" s="64" t="s">
        <v>64</v>
      </c>
      <c r="AB33" s="65" t="s">
        <v>65</v>
      </c>
      <c r="AC33" s="66">
        <v>1.5</v>
      </c>
    </row>
    <row r="34" spans="1:30" x14ac:dyDescent="0.25">
      <c r="A34" s="41">
        <v>25</v>
      </c>
      <c r="B34" s="42"/>
      <c r="C34" s="55"/>
      <c r="D34" s="42"/>
      <c r="E34" s="44">
        <v>0</v>
      </c>
      <c r="F34" s="44">
        <v>0</v>
      </c>
      <c r="G34" s="45">
        <f t="shared" si="0"/>
        <v>0</v>
      </c>
      <c r="H34" s="44">
        <v>0</v>
      </c>
      <c r="I34" s="44">
        <v>0</v>
      </c>
      <c r="J34" s="45">
        <f t="shared" si="1"/>
        <v>0</v>
      </c>
      <c r="K34" s="44">
        <v>0</v>
      </c>
      <c r="L34" s="44">
        <v>0</v>
      </c>
      <c r="M34" s="45">
        <f t="shared" si="2"/>
        <v>0</v>
      </c>
      <c r="N34" s="44">
        <v>0</v>
      </c>
      <c r="O34" s="44">
        <v>0</v>
      </c>
      <c r="P34" s="46">
        <f t="shared" si="3"/>
        <v>0</v>
      </c>
      <c r="Q34" s="47">
        <f t="shared" si="4"/>
        <v>0</v>
      </c>
      <c r="R34" s="48">
        <f t="shared" si="5"/>
        <v>0</v>
      </c>
      <c r="S34" s="49">
        <v>0</v>
      </c>
      <c r="T34" s="48">
        <f t="shared" si="6"/>
        <v>0</v>
      </c>
      <c r="U34" s="50">
        <f t="shared" si="7"/>
        <v>0</v>
      </c>
      <c r="V34" s="51">
        <f t="shared" si="8"/>
        <v>0</v>
      </c>
      <c r="W34" s="52" t="str">
        <f t="shared" si="9"/>
        <v>0.0</v>
      </c>
      <c r="X34" s="53" t="str">
        <f t="shared" si="10"/>
        <v>F9</v>
      </c>
      <c r="Z34" s="63" t="s">
        <v>66</v>
      </c>
      <c r="AA34" s="64" t="s">
        <v>67</v>
      </c>
      <c r="AB34" s="65" t="s">
        <v>65</v>
      </c>
      <c r="AC34" s="66">
        <v>1</v>
      </c>
    </row>
    <row r="35" spans="1:30" x14ac:dyDescent="0.25">
      <c r="A35" s="41">
        <v>26</v>
      </c>
      <c r="B35" s="54"/>
      <c r="C35" s="55"/>
      <c r="D35" s="54"/>
      <c r="E35" s="44">
        <v>0</v>
      </c>
      <c r="F35" s="44">
        <v>0</v>
      </c>
      <c r="G35" s="45">
        <f t="shared" si="0"/>
        <v>0</v>
      </c>
      <c r="H35" s="44">
        <v>0</v>
      </c>
      <c r="I35" s="44">
        <v>0</v>
      </c>
      <c r="J35" s="45">
        <f t="shared" si="1"/>
        <v>0</v>
      </c>
      <c r="K35" s="44">
        <v>0</v>
      </c>
      <c r="L35" s="44">
        <v>0</v>
      </c>
      <c r="M35" s="45">
        <f t="shared" si="2"/>
        <v>0</v>
      </c>
      <c r="N35" s="44">
        <v>0</v>
      </c>
      <c r="O35" s="44">
        <v>0</v>
      </c>
      <c r="P35" s="46">
        <f t="shared" si="3"/>
        <v>0</v>
      </c>
      <c r="Q35" s="47">
        <f t="shared" si="4"/>
        <v>0</v>
      </c>
      <c r="R35" s="48">
        <f t="shared" si="5"/>
        <v>0</v>
      </c>
      <c r="S35" s="49">
        <v>0</v>
      </c>
      <c r="T35" s="48">
        <f t="shared" si="6"/>
        <v>0</v>
      </c>
      <c r="U35" s="50">
        <f t="shared" si="7"/>
        <v>0</v>
      </c>
      <c r="V35" s="51">
        <f t="shared" si="8"/>
        <v>0</v>
      </c>
      <c r="W35" s="52" t="str">
        <f t="shared" si="9"/>
        <v>0.0</v>
      </c>
      <c r="X35" s="53" t="str">
        <f t="shared" si="10"/>
        <v>F9</v>
      </c>
      <c r="Z35" s="63" t="s">
        <v>68</v>
      </c>
      <c r="AA35" s="64" t="s">
        <v>69</v>
      </c>
      <c r="AB35" s="65" t="s">
        <v>70</v>
      </c>
      <c r="AC35" s="66">
        <v>0.5</v>
      </c>
    </row>
    <row r="36" spans="1:30" x14ac:dyDescent="0.25">
      <c r="A36" s="41">
        <v>27</v>
      </c>
      <c r="B36" s="42"/>
      <c r="C36" s="55"/>
      <c r="D36" s="42"/>
      <c r="E36" s="44">
        <v>0</v>
      </c>
      <c r="F36" s="44">
        <v>0</v>
      </c>
      <c r="G36" s="45">
        <f t="shared" si="0"/>
        <v>0</v>
      </c>
      <c r="H36" s="44">
        <v>0</v>
      </c>
      <c r="I36" s="44">
        <v>0</v>
      </c>
      <c r="J36" s="45">
        <f t="shared" si="1"/>
        <v>0</v>
      </c>
      <c r="K36" s="44">
        <v>0</v>
      </c>
      <c r="L36" s="44">
        <v>0</v>
      </c>
      <c r="M36" s="45">
        <f t="shared" si="2"/>
        <v>0</v>
      </c>
      <c r="N36" s="44">
        <v>0</v>
      </c>
      <c r="O36" s="44">
        <v>0</v>
      </c>
      <c r="P36" s="46">
        <f t="shared" si="3"/>
        <v>0</v>
      </c>
      <c r="Q36" s="47">
        <f t="shared" si="4"/>
        <v>0</v>
      </c>
      <c r="R36" s="48">
        <f t="shared" si="5"/>
        <v>0</v>
      </c>
      <c r="S36" s="49">
        <v>0</v>
      </c>
      <c r="T36" s="48">
        <f t="shared" si="6"/>
        <v>0</v>
      </c>
      <c r="U36" s="50">
        <f t="shared" si="7"/>
        <v>0</v>
      </c>
      <c r="V36" s="51">
        <f t="shared" si="8"/>
        <v>0</v>
      </c>
      <c r="W36" s="52" t="str">
        <f t="shared" si="9"/>
        <v>0.0</v>
      </c>
      <c r="X36" s="53" t="str">
        <f t="shared" si="10"/>
        <v>F9</v>
      </c>
      <c r="Z36" s="63" t="s">
        <v>33</v>
      </c>
      <c r="AA36" s="64" t="s">
        <v>71</v>
      </c>
      <c r="AB36" s="65" t="s">
        <v>72</v>
      </c>
      <c r="AC36" s="66">
        <v>0</v>
      </c>
    </row>
    <row r="37" spans="1:30" x14ac:dyDescent="0.25">
      <c r="A37" s="41">
        <v>28</v>
      </c>
      <c r="B37" s="54"/>
      <c r="C37" s="55"/>
      <c r="D37" s="54"/>
      <c r="E37" s="44">
        <v>0</v>
      </c>
      <c r="F37" s="44">
        <v>0</v>
      </c>
      <c r="G37" s="45">
        <f t="shared" si="0"/>
        <v>0</v>
      </c>
      <c r="H37" s="44">
        <v>0</v>
      </c>
      <c r="I37" s="44">
        <v>0</v>
      </c>
      <c r="J37" s="45">
        <f t="shared" si="1"/>
        <v>0</v>
      </c>
      <c r="K37" s="44">
        <v>0</v>
      </c>
      <c r="L37" s="44">
        <v>0</v>
      </c>
      <c r="M37" s="45">
        <f t="shared" si="2"/>
        <v>0</v>
      </c>
      <c r="N37" s="44">
        <v>0</v>
      </c>
      <c r="O37" s="44">
        <v>0</v>
      </c>
      <c r="P37" s="46">
        <f t="shared" si="3"/>
        <v>0</v>
      </c>
      <c r="Q37" s="47">
        <f t="shared" si="4"/>
        <v>0</v>
      </c>
      <c r="R37" s="48">
        <f t="shared" si="5"/>
        <v>0</v>
      </c>
      <c r="S37" s="49">
        <v>0</v>
      </c>
      <c r="T37" s="48">
        <f t="shared" si="6"/>
        <v>0</v>
      </c>
      <c r="U37" s="50">
        <f t="shared" si="7"/>
        <v>0</v>
      </c>
      <c r="V37" s="51">
        <f t="shared" si="8"/>
        <v>0</v>
      </c>
      <c r="W37" s="52" t="str">
        <f t="shared" si="9"/>
        <v>0.0</v>
      </c>
      <c r="X37" s="53" t="str">
        <f t="shared" si="10"/>
        <v>F9</v>
      </c>
    </row>
    <row r="38" spans="1:30" ht="15.75" customHeight="1" thickBot="1" x14ac:dyDescent="0.3">
      <c r="A38" s="41">
        <v>29</v>
      </c>
      <c r="B38" s="42"/>
      <c r="C38" s="55"/>
      <c r="D38" s="42"/>
      <c r="E38" s="44">
        <v>0</v>
      </c>
      <c r="F38" s="44">
        <v>0</v>
      </c>
      <c r="G38" s="45">
        <f t="shared" si="0"/>
        <v>0</v>
      </c>
      <c r="H38" s="44">
        <v>0</v>
      </c>
      <c r="I38" s="44">
        <v>0</v>
      </c>
      <c r="J38" s="45">
        <f t="shared" si="1"/>
        <v>0</v>
      </c>
      <c r="K38" s="44">
        <v>0</v>
      </c>
      <c r="L38" s="44">
        <v>0</v>
      </c>
      <c r="M38" s="45">
        <f t="shared" si="2"/>
        <v>0</v>
      </c>
      <c r="N38" s="44">
        <v>0</v>
      </c>
      <c r="O38" s="44">
        <v>0</v>
      </c>
      <c r="P38" s="46">
        <f t="shared" si="3"/>
        <v>0</v>
      </c>
      <c r="Q38" s="47">
        <f t="shared" si="4"/>
        <v>0</v>
      </c>
      <c r="R38" s="48">
        <f t="shared" si="5"/>
        <v>0</v>
      </c>
      <c r="S38" s="49">
        <v>0</v>
      </c>
      <c r="T38" s="48">
        <f t="shared" si="6"/>
        <v>0</v>
      </c>
      <c r="U38" s="50">
        <f t="shared" si="7"/>
        <v>0</v>
      </c>
      <c r="V38" s="51">
        <f t="shared" si="8"/>
        <v>0</v>
      </c>
      <c r="W38" s="52" t="str">
        <f t="shared" si="9"/>
        <v>0.0</v>
      </c>
      <c r="X38" s="53" t="str">
        <f t="shared" si="10"/>
        <v>F9</v>
      </c>
    </row>
    <row r="39" spans="1:30" ht="15.75" customHeight="1" thickBot="1" x14ac:dyDescent="0.3">
      <c r="A39" s="41">
        <v>30</v>
      </c>
      <c r="B39" s="54"/>
      <c r="C39" s="55"/>
      <c r="D39" s="54"/>
      <c r="E39" s="44">
        <v>0</v>
      </c>
      <c r="F39" s="44">
        <v>0</v>
      </c>
      <c r="G39" s="45">
        <f t="shared" si="0"/>
        <v>0</v>
      </c>
      <c r="H39" s="44">
        <v>0</v>
      </c>
      <c r="I39" s="44">
        <v>0</v>
      </c>
      <c r="J39" s="45">
        <f t="shared" si="1"/>
        <v>0</v>
      </c>
      <c r="K39" s="44">
        <v>0</v>
      </c>
      <c r="L39" s="44">
        <v>0</v>
      </c>
      <c r="M39" s="45">
        <f t="shared" si="2"/>
        <v>0</v>
      </c>
      <c r="N39" s="44">
        <v>0</v>
      </c>
      <c r="O39" s="44">
        <v>0</v>
      </c>
      <c r="P39" s="46">
        <f t="shared" si="3"/>
        <v>0</v>
      </c>
      <c r="Q39" s="47">
        <f t="shared" si="4"/>
        <v>0</v>
      </c>
      <c r="R39" s="48">
        <f t="shared" si="5"/>
        <v>0</v>
      </c>
      <c r="S39" s="49">
        <v>0</v>
      </c>
      <c r="T39" s="48">
        <f t="shared" si="6"/>
        <v>0</v>
      </c>
      <c r="U39" s="50">
        <f t="shared" si="7"/>
        <v>0</v>
      </c>
      <c r="V39" s="51">
        <f t="shared" si="8"/>
        <v>0</v>
      </c>
      <c r="W39" s="52" t="str">
        <f t="shared" si="9"/>
        <v>0.0</v>
      </c>
      <c r="X39" s="53" t="str">
        <f t="shared" si="10"/>
        <v>F9</v>
      </c>
      <c r="Z39" s="113" t="s">
        <v>73</v>
      </c>
      <c r="AA39" s="114"/>
    </row>
    <row r="40" spans="1:30" x14ac:dyDescent="0.25">
      <c r="A40" s="41">
        <v>31</v>
      </c>
      <c r="B40" s="42"/>
      <c r="C40" s="55"/>
      <c r="D40" s="42"/>
      <c r="E40" s="44">
        <v>0</v>
      </c>
      <c r="F40" s="44">
        <v>0</v>
      </c>
      <c r="G40" s="45">
        <f t="shared" si="0"/>
        <v>0</v>
      </c>
      <c r="H40" s="44">
        <v>0</v>
      </c>
      <c r="I40" s="44">
        <v>0</v>
      </c>
      <c r="J40" s="45">
        <f t="shared" si="1"/>
        <v>0</v>
      </c>
      <c r="K40" s="44">
        <v>0</v>
      </c>
      <c r="L40" s="44">
        <v>0</v>
      </c>
      <c r="M40" s="45">
        <f t="shared" si="2"/>
        <v>0</v>
      </c>
      <c r="N40" s="44">
        <v>0</v>
      </c>
      <c r="O40" s="44">
        <v>0</v>
      </c>
      <c r="P40" s="46">
        <f t="shared" si="3"/>
        <v>0</v>
      </c>
      <c r="Q40" s="47">
        <f t="shared" si="4"/>
        <v>0</v>
      </c>
      <c r="R40" s="48">
        <f t="shared" si="5"/>
        <v>0</v>
      </c>
      <c r="S40" s="49">
        <v>0</v>
      </c>
      <c r="T40" s="48">
        <f t="shared" si="6"/>
        <v>0</v>
      </c>
      <c r="U40" s="50">
        <f t="shared" si="7"/>
        <v>0</v>
      </c>
      <c r="V40" s="51">
        <f t="shared" si="8"/>
        <v>0</v>
      </c>
      <c r="W40" s="52" t="str">
        <f t="shared" si="9"/>
        <v>0.0</v>
      </c>
      <c r="X40" s="53" t="str">
        <f t="shared" si="10"/>
        <v>F9</v>
      </c>
      <c r="Z40" s="67" t="s">
        <v>31</v>
      </c>
      <c r="AA40" s="68" t="s">
        <v>74</v>
      </c>
    </row>
    <row r="41" spans="1:30" x14ac:dyDescent="0.25">
      <c r="A41" s="41">
        <v>32</v>
      </c>
      <c r="B41" s="54"/>
      <c r="C41" s="55"/>
      <c r="D41" s="54"/>
      <c r="E41" s="44">
        <v>0</v>
      </c>
      <c r="F41" s="44">
        <v>0</v>
      </c>
      <c r="G41" s="45">
        <f t="shared" si="0"/>
        <v>0</v>
      </c>
      <c r="H41" s="44">
        <v>0</v>
      </c>
      <c r="I41" s="44">
        <v>0</v>
      </c>
      <c r="J41" s="45">
        <f t="shared" si="1"/>
        <v>0</v>
      </c>
      <c r="K41" s="44">
        <v>0</v>
      </c>
      <c r="L41" s="44">
        <v>0</v>
      </c>
      <c r="M41" s="45">
        <f t="shared" si="2"/>
        <v>0</v>
      </c>
      <c r="N41" s="44">
        <v>0</v>
      </c>
      <c r="O41" s="44">
        <v>0</v>
      </c>
      <c r="P41" s="46">
        <f t="shared" si="3"/>
        <v>0</v>
      </c>
      <c r="Q41" s="47">
        <f t="shared" si="4"/>
        <v>0</v>
      </c>
      <c r="R41" s="48">
        <f t="shared" si="5"/>
        <v>0</v>
      </c>
      <c r="S41" s="49">
        <v>0</v>
      </c>
      <c r="T41" s="48">
        <f t="shared" si="6"/>
        <v>0</v>
      </c>
      <c r="U41" s="50">
        <f t="shared" si="7"/>
        <v>0</v>
      </c>
      <c r="V41" s="51">
        <f t="shared" si="8"/>
        <v>0</v>
      </c>
      <c r="W41" s="52" t="str">
        <f t="shared" si="9"/>
        <v>0.0</v>
      </c>
      <c r="X41" s="53" t="str">
        <f t="shared" si="10"/>
        <v>F9</v>
      </c>
      <c r="Z41" s="69" t="s">
        <v>49</v>
      </c>
      <c r="AA41" s="70">
        <f>COUNTIF(X$7:$X86,"a1")</f>
        <v>0</v>
      </c>
    </row>
    <row r="42" spans="1:30" x14ac:dyDescent="0.25">
      <c r="A42" s="41">
        <v>33</v>
      </c>
      <c r="B42" s="42"/>
      <c r="C42" s="55"/>
      <c r="D42" s="42"/>
      <c r="E42" s="44">
        <v>0</v>
      </c>
      <c r="F42" s="44">
        <v>0</v>
      </c>
      <c r="G42" s="45">
        <f t="shared" si="0"/>
        <v>0</v>
      </c>
      <c r="H42" s="44">
        <v>0</v>
      </c>
      <c r="I42" s="44">
        <v>0</v>
      </c>
      <c r="J42" s="45">
        <f t="shared" si="1"/>
        <v>0</v>
      </c>
      <c r="K42" s="44">
        <v>0</v>
      </c>
      <c r="L42" s="44">
        <v>0</v>
      </c>
      <c r="M42" s="45">
        <f t="shared" si="2"/>
        <v>0</v>
      </c>
      <c r="N42" s="44">
        <v>0</v>
      </c>
      <c r="O42" s="44">
        <v>0</v>
      </c>
      <c r="P42" s="46">
        <f t="shared" si="3"/>
        <v>0</v>
      </c>
      <c r="Q42" s="47">
        <f t="shared" si="4"/>
        <v>0</v>
      </c>
      <c r="R42" s="48">
        <f t="shared" si="5"/>
        <v>0</v>
      </c>
      <c r="S42" s="49">
        <v>0</v>
      </c>
      <c r="T42" s="48">
        <f t="shared" si="6"/>
        <v>0</v>
      </c>
      <c r="U42" s="50">
        <f t="shared" si="7"/>
        <v>0</v>
      </c>
      <c r="V42" s="51">
        <f t="shared" si="8"/>
        <v>0</v>
      </c>
      <c r="W42" s="52" t="str">
        <f t="shared" si="9"/>
        <v>0.0</v>
      </c>
      <c r="X42" s="53" t="str">
        <f t="shared" si="10"/>
        <v>F9</v>
      </c>
      <c r="Z42" s="69" t="s">
        <v>52</v>
      </c>
      <c r="AA42" s="70">
        <f>COUNTIF(X$7:$X262,"B2")</f>
        <v>0</v>
      </c>
    </row>
    <row r="43" spans="1:30" x14ac:dyDescent="0.25">
      <c r="A43" s="41">
        <v>34</v>
      </c>
      <c r="B43" s="54"/>
      <c r="C43" s="55"/>
      <c r="D43" s="54"/>
      <c r="E43" s="44">
        <v>0</v>
      </c>
      <c r="F43" s="44">
        <v>0</v>
      </c>
      <c r="G43" s="45">
        <f t="shared" si="0"/>
        <v>0</v>
      </c>
      <c r="H43" s="44">
        <v>0</v>
      </c>
      <c r="I43" s="44">
        <v>0</v>
      </c>
      <c r="J43" s="45">
        <f t="shared" si="1"/>
        <v>0</v>
      </c>
      <c r="K43" s="44">
        <v>0</v>
      </c>
      <c r="L43" s="44">
        <v>0</v>
      </c>
      <c r="M43" s="45">
        <f t="shared" si="2"/>
        <v>0</v>
      </c>
      <c r="N43" s="44">
        <v>0</v>
      </c>
      <c r="O43" s="44">
        <v>0</v>
      </c>
      <c r="P43" s="46">
        <f t="shared" si="3"/>
        <v>0</v>
      </c>
      <c r="Q43" s="47">
        <f t="shared" si="4"/>
        <v>0</v>
      </c>
      <c r="R43" s="48">
        <f t="shared" si="5"/>
        <v>0</v>
      </c>
      <c r="S43" s="49">
        <v>0</v>
      </c>
      <c r="T43" s="48">
        <f t="shared" si="6"/>
        <v>0</v>
      </c>
      <c r="U43" s="50">
        <f t="shared" si="7"/>
        <v>0</v>
      </c>
      <c r="V43" s="51">
        <f t="shared" si="8"/>
        <v>0</v>
      </c>
      <c r="W43" s="52" t="str">
        <f t="shared" si="9"/>
        <v>0.0</v>
      </c>
      <c r="X43" s="53" t="str">
        <f t="shared" si="10"/>
        <v>F9</v>
      </c>
      <c r="Z43" s="69" t="s">
        <v>55</v>
      </c>
      <c r="AA43" s="70">
        <f>COUNTIF(X$7:$X263,"b3")</f>
        <v>0</v>
      </c>
    </row>
    <row r="44" spans="1:30" x14ac:dyDescent="0.25">
      <c r="A44" s="41">
        <v>35</v>
      </c>
      <c r="B44" s="42"/>
      <c r="C44" s="55"/>
      <c r="D44" s="42"/>
      <c r="E44" s="44">
        <v>0</v>
      </c>
      <c r="F44" s="44">
        <v>0</v>
      </c>
      <c r="G44" s="45">
        <f t="shared" si="0"/>
        <v>0</v>
      </c>
      <c r="H44" s="44">
        <v>0</v>
      </c>
      <c r="I44" s="44">
        <v>0</v>
      </c>
      <c r="J44" s="45">
        <f t="shared" si="1"/>
        <v>0</v>
      </c>
      <c r="K44" s="44">
        <v>0</v>
      </c>
      <c r="L44" s="44">
        <v>0</v>
      </c>
      <c r="M44" s="45">
        <f t="shared" si="2"/>
        <v>0</v>
      </c>
      <c r="N44" s="44">
        <v>0</v>
      </c>
      <c r="O44" s="44">
        <v>0</v>
      </c>
      <c r="P44" s="46">
        <f t="shared" si="3"/>
        <v>0</v>
      </c>
      <c r="Q44" s="47">
        <f t="shared" si="4"/>
        <v>0</v>
      </c>
      <c r="R44" s="48">
        <f t="shared" si="5"/>
        <v>0</v>
      </c>
      <c r="S44" s="49">
        <v>0</v>
      </c>
      <c r="T44" s="48">
        <f t="shared" si="6"/>
        <v>0</v>
      </c>
      <c r="U44" s="50">
        <f t="shared" si="7"/>
        <v>0</v>
      </c>
      <c r="V44" s="51">
        <f t="shared" si="8"/>
        <v>0</v>
      </c>
      <c r="W44" s="52" t="str">
        <f t="shared" si="9"/>
        <v>0.0</v>
      </c>
      <c r="X44" s="53" t="str">
        <f t="shared" si="10"/>
        <v>F9</v>
      </c>
      <c r="Z44" s="69" t="s">
        <v>58</v>
      </c>
      <c r="AA44" s="70">
        <f>COUNTIF(X$7:$X264,"c4")</f>
        <v>0</v>
      </c>
    </row>
    <row r="45" spans="1:30" x14ac:dyDescent="0.25">
      <c r="A45" s="41">
        <v>36</v>
      </c>
      <c r="B45" s="54"/>
      <c r="C45" s="55"/>
      <c r="D45" s="54"/>
      <c r="E45" s="44">
        <v>0</v>
      </c>
      <c r="F45" s="44">
        <v>0</v>
      </c>
      <c r="G45" s="45">
        <f t="shared" si="0"/>
        <v>0</v>
      </c>
      <c r="H45" s="44">
        <v>0</v>
      </c>
      <c r="I45" s="44">
        <v>0</v>
      </c>
      <c r="J45" s="45">
        <f t="shared" si="1"/>
        <v>0</v>
      </c>
      <c r="K45" s="44">
        <v>0</v>
      </c>
      <c r="L45" s="44">
        <v>0</v>
      </c>
      <c r="M45" s="45">
        <f t="shared" si="2"/>
        <v>0</v>
      </c>
      <c r="N45" s="44">
        <v>0</v>
      </c>
      <c r="O45" s="44">
        <v>0</v>
      </c>
      <c r="P45" s="46">
        <f t="shared" si="3"/>
        <v>0</v>
      </c>
      <c r="Q45" s="47">
        <f t="shared" si="4"/>
        <v>0</v>
      </c>
      <c r="R45" s="48">
        <f t="shared" si="5"/>
        <v>0</v>
      </c>
      <c r="S45" s="49">
        <v>0</v>
      </c>
      <c r="T45" s="48">
        <f t="shared" si="6"/>
        <v>0</v>
      </c>
      <c r="U45" s="50">
        <f t="shared" si="7"/>
        <v>0</v>
      </c>
      <c r="V45" s="51">
        <f t="shared" si="8"/>
        <v>0</v>
      </c>
      <c r="W45" s="52" t="str">
        <f t="shared" si="9"/>
        <v>0.0</v>
      </c>
      <c r="X45" s="53" t="str">
        <f t="shared" si="10"/>
        <v>F9</v>
      </c>
      <c r="Z45" s="69" t="s">
        <v>61</v>
      </c>
      <c r="AA45" s="70">
        <f>COUNTIF(X$7:$X265,"c5")</f>
        <v>0</v>
      </c>
      <c r="AB45" s="71"/>
      <c r="AC45" s="71"/>
      <c r="AD45" s="71"/>
    </row>
    <row r="46" spans="1:30" x14ac:dyDescent="0.25">
      <c r="A46" s="41">
        <v>37</v>
      </c>
      <c r="B46" s="42"/>
      <c r="C46" s="72"/>
      <c r="D46" s="42"/>
      <c r="E46" s="44">
        <v>0</v>
      </c>
      <c r="F46" s="44">
        <v>0</v>
      </c>
      <c r="G46" s="45">
        <f t="shared" si="0"/>
        <v>0</v>
      </c>
      <c r="H46" s="44">
        <v>0</v>
      </c>
      <c r="I46" s="44">
        <v>0</v>
      </c>
      <c r="J46" s="45">
        <f t="shared" si="1"/>
        <v>0</v>
      </c>
      <c r="K46" s="44">
        <v>0</v>
      </c>
      <c r="L46" s="44">
        <v>0</v>
      </c>
      <c r="M46" s="45">
        <f t="shared" si="2"/>
        <v>0</v>
      </c>
      <c r="N46" s="44">
        <v>0</v>
      </c>
      <c r="O46" s="44">
        <v>0</v>
      </c>
      <c r="P46" s="46">
        <f t="shared" si="3"/>
        <v>0</v>
      </c>
      <c r="Q46" s="47">
        <f t="shared" si="4"/>
        <v>0</v>
      </c>
      <c r="R46" s="48">
        <f t="shared" si="5"/>
        <v>0</v>
      </c>
      <c r="S46" s="49">
        <v>0</v>
      </c>
      <c r="T46" s="48">
        <f t="shared" si="6"/>
        <v>0</v>
      </c>
      <c r="U46" s="50">
        <f t="shared" si="7"/>
        <v>0</v>
      </c>
      <c r="V46" s="51">
        <f t="shared" si="8"/>
        <v>0</v>
      </c>
      <c r="W46" s="52" t="str">
        <f t="shared" si="9"/>
        <v>0.0</v>
      </c>
      <c r="X46" s="53" t="str">
        <f t="shared" si="10"/>
        <v>F9</v>
      </c>
      <c r="Z46" s="69" t="s">
        <v>63</v>
      </c>
      <c r="AA46" s="70">
        <f>COUNTIF(X$7:$X266,"c6")</f>
        <v>0</v>
      </c>
      <c r="AB46" s="71"/>
      <c r="AC46" s="71"/>
      <c r="AD46" s="71"/>
    </row>
    <row r="47" spans="1:30" x14ac:dyDescent="0.25">
      <c r="A47" s="41">
        <v>38</v>
      </c>
      <c r="B47" s="54"/>
      <c r="C47" s="55"/>
      <c r="D47" s="54"/>
      <c r="E47" s="44">
        <v>0</v>
      </c>
      <c r="F47" s="44">
        <v>0</v>
      </c>
      <c r="G47" s="45">
        <f t="shared" si="0"/>
        <v>0</v>
      </c>
      <c r="H47" s="44">
        <v>0</v>
      </c>
      <c r="I47" s="44">
        <v>0</v>
      </c>
      <c r="J47" s="45">
        <f t="shared" si="1"/>
        <v>0</v>
      </c>
      <c r="K47" s="44">
        <v>0</v>
      </c>
      <c r="L47" s="44">
        <v>0</v>
      </c>
      <c r="M47" s="45">
        <f t="shared" si="2"/>
        <v>0</v>
      </c>
      <c r="N47" s="44">
        <v>0</v>
      </c>
      <c r="O47" s="44">
        <v>0</v>
      </c>
      <c r="P47" s="46">
        <f t="shared" si="3"/>
        <v>0</v>
      </c>
      <c r="Q47" s="47">
        <f t="shared" si="4"/>
        <v>0</v>
      </c>
      <c r="R47" s="48">
        <f t="shared" si="5"/>
        <v>0</v>
      </c>
      <c r="S47" s="49">
        <v>0</v>
      </c>
      <c r="T47" s="48">
        <f t="shared" si="6"/>
        <v>0</v>
      </c>
      <c r="U47" s="50">
        <f t="shared" si="7"/>
        <v>0</v>
      </c>
      <c r="V47" s="51">
        <f t="shared" si="8"/>
        <v>0</v>
      </c>
      <c r="W47" s="52" t="str">
        <f t="shared" si="9"/>
        <v>0.0</v>
      </c>
      <c r="X47" s="53" t="str">
        <f t="shared" si="10"/>
        <v>F9</v>
      </c>
      <c r="Z47" s="69" t="s">
        <v>66</v>
      </c>
      <c r="AA47" s="70">
        <f>COUNTIF(X$7:$X267,"d7")</f>
        <v>0</v>
      </c>
      <c r="AB47" s="71"/>
      <c r="AC47" s="71"/>
      <c r="AD47" s="71"/>
    </row>
    <row r="48" spans="1:30" x14ac:dyDescent="0.25">
      <c r="A48" s="41">
        <v>39</v>
      </c>
      <c r="B48" s="42"/>
      <c r="C48" s="55"/>
      <c r="D48" s="42"/>
      <c r="E48" s="44">
        <v>0</v>
      </c>
      <c r="F48" s="44">
        <v>0</v>
      </c>
      <c r="G48" s="45">
        <f t="shared" si="0"/>
        <v>0</v>
      </c>
      <c r="H48" s="44">
        <v>0</v>
      </c>
      <c r="I48" s="44">
        <v>0</v>
      </c>
      <c r="J48" s="45">
        <f t="shared" si="1"/>
        <v>0</v>
      </c>
      <c r="K48" s="44">
        <v>0</v>
      </c>
      <c r="L48" s="44">
        <v>0</v>
      </c>
      <c r="M48" s="45">
        <f t="shared" si="2"/>
        <v>0</v>
      </c>
      <c r="N48" s="44">
        <v>0</v>
      </c>
      <c r="O48" s="44">
        <v>0</v>
      </c>
      <c r="P48" s="46">
        <f t="shared" si="3"/>
        <v>0</v>
      </c>
      <c r="Q48" s="47">
        <f t="shared" si="4"/>
        <v>0</v>
      </c>
      <c r="R48" s="48">
        <f t="shared" si="5"/>
        <v>0</v>
      </c>
      <c r="S48" s="49">
        <v>0</v>
      </c>
      <c r="T48" s="48">
        <f t="shared" si="6"/>
        <v>0</v>
      </c>
      <c r="U48" s="50">
        <f t="shared" si="7"/>
        <v>0</v>
      </c>
      <c r="V48" s="51">
        <f t="shared" si="8"/>
        <v>0</v>
      </c>
      <c r="W48" s="52" t="str">
        <f t="shared" si="9"/>
        <v>0.0</v>
      </c>
      <c r="X48" s="53" t="str">
        <f t="shared" si="10"/>
        <v>F9</v>
      </c>
      <c r="Z48" s="69" t="s">
        <v>68</v>
      </c>
      <c r="AA48" s="70">
        <f>COUNTIF(X$7:$X268,"e8")</f>
        <v>0</v>
      </c>
      <c r="AB48" s="71"/>
      <c r="AC48" s="71"/>
      <c r="AD48" s="71"/>
    </row>
    <row r="49" spans="1:30" ht="15.75" customHeight="1" thickBot="1" x14ac:dyDescent="0.3">
      <c r="A49" s="41">
        <v>40</v>
      </c>
      <c r="B49" s="54"/>
      <c r="C49" s="55"/>
      <c r="D49" s="54"/>
      <c r="E49" s="44">
        <v>0</v>
      </c>
      <c r="F49" s="44">
        <v>0</v>
      </c>
      <c r="G49" s="45">
        <f t="shared" si="0"/>
        <v>0</v>
      </c>
      <c r="H49" s="44">
        <v>0</v>
      </c>
      <c r="I49" s="44">
        <v>0</v>
      </c>
      <c r="J49" s="45">
        <f t="shared" si="1"/>
        <v>0</v>
      </c>
      <c r="K49" s="44">
        <v>0</v>
      </c>
      <c r="L49" s="44">
        <v>0</v>
      </c>
      <c r="M49" s="45">
        <f t="shared" si="2"/>
        <v>0</v>
      </c>
      <c r="N49" s="44">
        <v>0</v>
      </c>
      <c r="O49" s="44">
        <v>0</v>
      </c>
      <c r="P49" s="46">
        <f t="shared" si="3"/>
        <v>0</v>
      </c>
      <c r="Q49" s="47">
        <f t="shared" si="4"/>
        <v>0</v>
      </c>
      <c r="R49" s="48">
        <f t="shared" si="5"/>
        <v>0</v>
      </c>
      <c r="S49" s="49">
        <v>0</v>
      </c>
      <c r="T49" s="48">
        <f t="shared" si="6"/>
        <v>0</v>
      </c>
      <c r="U49" s="50">
        <f t="shared" si="7"/>
        <v>0</v>
      </c>
      <c r="V49" s="51">
        <f t="shared" si="8"/>
        <v>0</v>
      </c>
      <c r="W49" s="52" t="str">
        <f t="shared" si="9"/>
        <v>0.0</v>
      </c>
      <c r="X49" s="53" t="str">
        <f t="shared" si="10"/>
        <v>F9</v>
      </c>
      <c r="Z49" s="73" t="s">
        <v>33</v>
      </c>
      <c r="AA49" s="74">
        <f>COUNTIF(X10:X71,"f9")</f>
        <v>62</v>
      </c>
      <c r="AB49" s="71"/>
      <c r="AC49" s="71"/>
      <c r="AD49" s="71"/>
    </row>
    <row r="50" spans="1:30" ht="15.75" customHeight="1" thickBot="1" x14ac:dyDescent="0.3">
      <c r="A50" s="41">
        <v>41</v>
      </c>
      <c r="B50" s="42"/>
      <c r="C50" s="55"/>
      <c r="D50" s="42"/>
      <c r="E50" s="44">
        <v>0</v>
      </c>
      <c r="F50" s="44">
        <v>0</v>
      </c>
      <c r="G50" s="45">
        <f t="shared" si="0"/>
        <v>0</v>
      </c>
      <c r="H50" s="44">
        <v>0</v>
      </c>
      <c r="I50" s="44">
        <v>0</v>
      </c>
      <c r="J50" s="45">
        <f t="shared" si="1"/>
        <v>0</v>
      </c>
      <c r="K50" s="44">
        <v>0</v>
      </c>
      <c r="L50" s="44">
        <v>0</v>
      </c>
      <c r="M50" s="45">
        <f t="shared" si="2"/>
        <v>0</v>
      </c>
      <c r="N50" s="44">
        <v>0</v>
      </c>
      <c r="O50" s="44">
        <v>0</v>
      </c>
      <c r="P50" s="46">
        <f t="shared" si="3"/>
        <v>0</v>
      </c>
      <c r="Q50" s="47">
        <f t="shared" si="4"/>
        <v>0</v>
      </c>
      <c r="R50" s="48">
        <f t="shared" si="5"/>
        <v>0</v>
      </c>
      <c r="S50" s="49">
        <v>0</v>
      </c>
      <c r="T50" s="48">
        <f t="shared" si="6"/>
        <v>0</v>
      </c>
      <c r="U50" s="50">
        <f t="shared" si="7"/>
        <v>0</v>
      </c>
      <c r="V50" s="51">
        <f t="shared" si="8"/>
        <v>0</v>
      </c>
      <c r="W50" s="52" t="str">
        <f t="shared" si="9"/>
        <v>0.0</v>
      </c>
      <c r="X50" s="53" t="str">
        <f t="shared" si="10"/>
        <v>F9</v>
      </c>
      <c r="Z50" s="75" t="s">
        <v>75</v>
      </c>
      <c r="AA50" s="76">
        <f>SUM(AA41:AA49)</f>
        <v>62</v>
      </c>
      <c r="AB50" s="71"/>
      <c r="AC50" s="71"/>
      <c r="AD50" s="71"/>
    </row>
    <row r="51" spans="1:30" x14ac:dyDescent="0.25">
      <c r="A51" s="41">
        <v>42</v>
      </c>
      <c r="B51" s="54"/>
      <c r="C51" s="55"/>
      <c r="D51" s="54"/>
      <c r="E51" s="44">
        <v>0</v>
      </c>
      <c r="F51" s="44">
        <v>0</v>
      </c>
      <c r="G51" s="45">
        <f t="shared" si="0"/>
        <v>0</v>
      </c>
      <c r="H51" s="44">
        <v>0</v>
      </c>
      <c r="I51" s="44">
        <v>0</v>
      </c>
      <c r="J51" s="45">
        <f t="shared" si="1"/>
        <v>0</v>
      </c>
      <c r="K51" s="44">
        <v>0</v>
      </c>
      <c r="L51" s="44">
        <v>0</v>
      </c>
      <c r="M51" s="45">
        <f t="shared" si="2"/>
        <v>0</v>
      </c>
      <c r="N51" s="44">
        <v>0</v>
      </c>
      <c r="O51" s="44">
        <v>0</v>
      </c>
      <c r="P51" s="46">
        <f t="shared" si="3"/>
        <v>0</v>
      </c>
      <c r="Q51" s="47">
        <f t="shared" si="4"/>
        <v>0</v>
      </c>
      <c r="R51" s="48">
        <f t="shared" si="5"/>
        <v>0</v>
      </c>
      <c r="S51" s="49">
        <v>0</v>
      </c>
      <c r="T51" s="48">
        <f t="shared" si="6"/>
        <v>0</v>
      </c>
      <c r="U51" s="50">
        <f t="shared" si="7"/>
        <v>0</v>
      </c>
      <c r="V51" s="51">
        <f t="shared" si="8"/>
        <v>0</v>
      </c>
      <c r="W51" s="52" t="str">
        <f t="shared" si="9"/>
        <v>0.0</v>
      </c>
      <c r="X51" s="53" t="str">
        <f t="shared" si="10"/>
        <v>F9</v>
      </c>
      <c r="Z51" s="71"/>
      <c r="AA51" s="71"/>
      <c r="AB51" s="71"/>
      <c r="AC51" s="71"/>
      <c r="AD51" s="71"/>
    </row>
    <row r="52" spans="1:30" x14ac:dyDescent="0.25">
      <c r="A52" s="41">
        <v>43</v>
      </c>
      <c r="B52" s="42"/>
      <c r="C52" s="55"/>
      <c r="D52" s="42"/>
      <c r="E52" s="44">
        <v>0</v>
      </c>
      <c r="F52" s="44">
        <v>0</v>
      </c>
      <c r="G52" s="45">
        <f t="shared" si="0"/>
        <v>0</v>
      </c>
      <c r="H52" s="44">
        <v>0</v>
      </c>
      <c r="I52" s="44">
        <v>0</v>
      </c>
      <c r="J52" s="45">
        <f t="shared" si="1"/>
        <v>0</v>
      </c>
      <c r="K52" s="44">
        <v>0</v>
      </c>
      <c r="L52" s="44">
        <v>0</v>
      </c>
      <c r="M52" s="45">
        <f t="shared" si="2"/>
        <v>0</v>
      </c>
      <c r="N52" s="44">
        <v>0</v>
      </c>
      <c r="O52" s="44">
        <v>0</v>
      </c>
      <c r="P52" s="46">
        <f t="shared" si="3"/>
        <v>0</v>
      </c>
      <c r="Q52" s="47">
        <f t="shared" si="4"/>
        <v>0</v>
      </c>
      <c r="R52" s="48">
        <f t="shared" si="5"/>
        <v>0</v>
      </c>
      <c r="S52" s="49">
        <v>0</v>
      </c>
      <c r="T52" s="48">
        <f t="shared" si="6"/>
        <v>0</v>
      </c>
      <c r="U52" s="50">
        <f t="shared" si="7"/>
        <v>0</v>
      </c>
      <c r="V52" s="51">
        <f t="shared" si="8"/>
        <v>0</v>
      </c>
      <c r="W52" s="52" t="str">
        <f t="shared" si="9"/>
        <v>0.0</v>
      </c>
      <c r="X52" s="53" t="str">
        <f t="shared" si="10"/>
        <v>F9</v>
      </c>
      <c r="Z52" s="71"/>
      <c r="AA52" s="71"/>
      <c r="AB52" s="71"/>
      <c r="AC52" s="71"/>
      <c r="AD52" s="71"/>
    </row>
    <row r="53" spans="1:30" x14ac:dyDescent="0.25">
      <c r="A53" s="41">
        <v>44</v>
      </c>
      <c r="B53" s="54"/>
      <c r="C53" s="55"/>
      <c r="D53" s="54"/>
      <c r="E53" s="44">
        <v>0</v>
      </c>
      <c r="F53" s="44">
        <v>0</v>
      </c>
      <c r="G53" s="45">
        <f t="shared" si="0"/>
        <v>0</v>
      </c>
      <c r="H53" s="44">
        <v>0</v>
      </c>
      <c r="I53" s="44">
        <v>0</v>
      </c>
      <c r="J53" s="45">
        <f t="shared" si="1"/>
        <v>0</v>
      </c>
      <c r="K53" s="44">
        <v>0</v>
      </c>
      <c r="L53" s="44">
        <v>0</v>
      </c>
      <c r="M53" s="45">
        <f t="shared" si="2"/>
        <v>0</v>
      </c>
      <c r="N53" s="44">
        <v>0</v>
      </c>
      <c r="O53" s="44">
        <v>0</v>
      </c>
      <c r="P53" s="46">
        <f t="shared" si="3"/>
        <v>0</v>
      </c>
      <c r="Q53" s="47">
        <f t="shared" si="4"/>
        <v>0</v>
      </c>
      <c r="R53" s="48">
        <f t="shared" si="5"/>
        <v>0</v>
      </c>
      <c r="S53" s="49">
        <v>0</v>
      </c>
      <c r="T53" s="48">
        <f t="shared" si="6"/>
        <v>0</v>
      </c>
      <c r="U53" s="50">
        <f t="shared" si="7"/>
        <v>0</v>
      </c>
      <c r="V53" s="51">
        <f t="shared" si="8"/>
        <v>0</v>
      </c>
      <c r="W53" s="52" t="str">
        <f t="shared" si="9"/>
        <v>0.0</v>
      </c>
      <c r="X53" s="53" t="str">
        <f t="shared" si="10"/>
        <v>F9</v>
      </c>
      <c r="Z53" s="71"/>
      <c r="AA53" s="71"/>
      <c r="AB53" s="71"/>
      <c r="AC53" s="71"/>
      <c r="AD53" s="71"/>
    </row>
    <row r="54" spans="1:30" x14ac:dyDescent="0.25">
      <c r="A54" s="41">
        <v>45</v>
      </c>
      <c r="B54" s="42"/>
      <c r="C54" s="55"/>
      <c r="D54" s="42"/>
      <c r="E54" s="44">
        <v>0</v>
      </c>
      <c r="F54" s="44">
        <v>0</v>
      </c>
      <c r="G54" s="45">
        <f t="shared" si="0"/>
        <v>0</v>
      </c>
      <c r="H54" s="44">
        <v>0</v>
      </c>
      <c r="I54" s="44">
        <v>0</v>
      </c>
      <c r="J54" s="45">
        <f t="shared" si="1"/>
        <v>0</v>
      </c>
      <c r="K54" s="44">
        <v>0</v>
      </c>
      <c r="L54" s="44">
        <v>0</v>
      </c>
      <c r="M54" s="45">
        <f t="shared" si="2"/>
        <v>0</v>
      </c>
      <c r="N54" s="44">
        <v>0</v>
      </c>
      <c r="O54" s="44">
        <v>0</v>
      </c>
      <c r="P54" s="46">
        <f t="shared" si="3"/>
        <v>0</v>
      </c>
      <c r="Q54" s="47">
        <f t="shared" si="4"/>
        <v>0</v>
      </c>
      <c r="R54" s="48">
        <f t="shared" si="5"/>
        <v>0</v>
      </c>
      <c r="S54" s="49">
        <v>0</v>
      </c>
      <c r="T54" s="48">
        <f t="shared" si="6"/>
        <v>0</v>
      </c>
      <c r="U54" s="50">
        <f t="shared" si="7"/>
        <v>0</v>
      </c>
      <c r="V54" s="51">
        <f t="shared" si="8"/>
        <v>0</v>
      </c>
      <c r="W54" s="52" t="str">
        <f t="shared" si="9"/>
        <v>0.0</v>
      </c>
      <c r="X54" s="53" t="str">
        <f t="shared" si="10"/>
        <v>F9</v>
      </c>
      <c r="Z54" s="71"/>
      <c r="AA54" s="71"/>
      <c r="AB54" s="71"/>
      <c r="AC54" s="71"/>
      <c r="AD54" s="71"/>
    </row>
    <row r="55" spans="1:30" x14ac:dyDescent="0.25">
      <c r="A55" s="41">
        <v>46</v>
      </c>
      <c r="B55" s="54"/>
      <c r="C55" s="72"/>
      <c r="D55" s="54"/>
      <c r="E55" s="44">
        <v>0</v>
      </c>
      <c r="F55" s="44">
        <v>0</v>
      </c>
      <c r="G55" s="45">
        <f t="shared" si="0"/>
        <v>0</v>
      </c>
      <c r="H55" s="44">
        <v>0</v>
      </c>
      <c r="I55" s="44">
        <v>0</v>
      </c>
      <c r="J55" s="45">
        <f t="shared" si="1"/>
        <v>0</v>
      </c>
      <c r="K55" s="44">
        <v>0</v>
      </c>
      <c r="L55" s="44">
        <v>0</v>
      </c>
      <c r="M55" s="45">
        <f t="shared" si="2"/>
        <v>0</v>
      </c>
      <c r="N55" s="44">
        <v>0</v>
      </c>
      <c r="O55" s="44">
        <v>0</v>
      </c>
      <c r="P55" s="46">
        <f t="shared" si="3"/>
        <v>0</v>
      </c>
      <c r="Q55" s="47">
        <f t="shared" si="4"/>
        <v>0</v>
      </c>
      <c r="R55" s="48">
        <f t="shared" si="5"/>
        <v>0</v>
      </c>
      <c r="S55" s="49">
        <v>0</v>
      </c>
      <c r="T55" s="48">
        <f t="shared" si="6"/>
        <v>0</v>
      </c>
      <c r="U55" s="50">
        <f t="shared" si="7"/>
        <v>0</v>
      </c>
      <c r="V55" s="51">
        <f t="shared" si="8"/>
        <v>0</v>
      </c>
      <c r="W55" s="52" t="str">
        <f t="shared" si="9"/>
        <v>0.0</v>
      </c>
      <c r="X55" s="53" t="str">
        <f t="shared" si="10"/>
        <v>F9</v>
      </c>
      <c r="Z55" s="71"/>
      <c r="AA55" s="71"/>
      <c r="AB55" s="71"/>
      <c r="AC55" s="71"/>
      <c r="AD55" s="71"/>
    </row>
    <row r="56" spans="1:30" x14ac:dyDescent="0.25">
      <c r="A56" s="41">
        <v>47</v>
      </c>
      <c r="B56" s="42"/>
      <c r="C56" s="55"/>
      <c r="D56" s="42"/>
      <c r="E56" s="44">
        <v>0</v>
      </c>
      <c r="F56" s="44">
        <v>0</v>
      </c>
      <c r="G56" s="45">
        <f t="shared" si="0"/>
        <v>0</v>
      </c>
      <c r="H56" s="44">
        <v>0</v>
      </c>
      <c r="I56" s="44">
        <v>0</v>
      </c>
      <c r="J56" s="45">
        <f t="shared" si="1"/>
        <v>0</v>
      </c>
      <c r="K56" s="44">
        <v>0</v>
      </c>
      <c r="L56" s="44">
        <v>0</v>
      </c>
      <c r="M56" s="45">
        <f t="shared" si="2"/>
        <v>0</v>
      </c>
      <c r="N56" s="44">
        <v>0</v>
      </c>
      <c r="O56" s="44">
        <v>0</v>
      </c>
      <c r="P56" s="46">
        <f t="shared" si="3"/>
        <v>0</v>
      </c>
      <c r="Q56" s="47">
        <f t="shared" si="4"/>
        <v>0</v>
      </c>
      <c r="R56" s="48">
        <f t="shared" si="5"/>
        <v>0</v>
      </c>
      <c r="S56" s="49">
        <v>0</v>
      </c>
      <c r="T56" s="48">
        <f t="shared" si="6"/>
        <v>0</v>
      </c>
      <c r="U56" s="50">
        <f t="shared" si="7"/>
        <v>0</v>
      </c>
      <c r="V56" s="51">
        <f t="shared" si="8"/>
        <v>0</v>
      </c>
      <c r="W56" s="52" t="str">
        <f t="shared" si="9"/>
        <v>0.0</v>
      </c>
      <c r="X56" s="53" t="str">
        <f t="shared" si="10"/>
        <v>F9</v>
      </c>
      <c r="Z56" s="71"/>
      <c r="AA56" s="71"/>
      <c r="AB56" s="71"/>
      <c r="AC56" s="71"/>
      <c r="AD56" s="71"/>
    </row>
    <row r="57" spans="1:30" x14ac:dyDescent="0.25">
      <c r="A57" s="41">
        <v>48</v>
      </c>
      <c r="B57" s="54"/>
      <c r="C57" s="55"/>
      <c r="D57" s="54"/>
      <c r="E57" s="44">
        <v>0</v>
      </c>
      <c r="F57" s="44">
        <v>0</v>
      </c>
      <c r="G57" s="45">
        <f t="shared" si="0"/>
        <v>0</v>
      </c>
      <c r="H57" s="44">
        <v>0</v>
      </c>
      <c r="I57" s="44">
        <v>0</v>
      </c>
      <c r="J57" s="45">
        <f t="shared" si="1"/>
        <v>0</v>
      </c>
      <c r="K57" s="44">
        <v>0</v>
      </c>
      <c r="L57" s="44">
        <v>0</v>
      </c>
      <c r="M57" s="45">
        <f t="shared" si="2"/>
        <v>0</v>
      </c>
      <c r="N57" s="44">
        <v>0</v>
      </c>
      <c r="O57" s="44">
        <v>0</v>
      </c>
      <c r="P57" s="46">
        <f t="shared" si="3"/>
        <v>0</v>
      </c>
      <c r="Q57" s="47">
        <f t="shared" si="4"/>
        <v>0</v>
      </c>
      <c r="R57" s="48">
        <f t="shared" si="5"/>
        <v>0</v>
      </c>
      <c r="S57" s="49">
        <v>0</v>
      </c>
      <c r="T57" s="48">
        <f t="shared" si="6"/>
        <v>0</v>
      </c>
      <c r="U57" s="50">
        <f t="shared" si="7"/>
        <v>0</v>
      </c>
      <c r="V57" s="51">
        <f t="shared" si="8"/>
        <v>0</v>
      </c>
      <c r="W57" s="52" t="str">
        <f t="shared" si="9"/>
        <v>0.0</v>
      </c>
      <c r="X57" s="53" t="str">
        <f t="shared" si="10"/>
        <v>F9</v>
      </c>
      <c r="Z57" s="71"/>
      <c r="AA57" s="71"/>
      <c r="AB57" s="71"/>
      <c r="AC57" s="71"/>
      <c r="AD57" s="71"/>
    </row>
    <row r="58" spans="1:30" x14ac:dyDescent="0.25">
      <c r="A58" s="41">
        <v>49</v>
      </c>
      <c r="B58" s="42"/>
      <c r="C58" s="55"/>
      <c r="D58" s="42"/>
      <c r="E58" s="44">
        <v>0</v>
      </c>
      <c r="F58" s="44">
        <v>0</v>
      </c>
      <c r="G58" s="45">
        <f t="shared" si="0"/>
        <v>0</v>
      </c>
      <c r="H58" s="44">
        <v>0</v>
      </c>
      <c r="I58" s="44">
        <v>0</v>
      </c>
      <c r="J58" s="45">
        <f t="shared" si="1"/>
        <v>0</v>
      </c>
      <c r="K58" s="44">
        <v>0</v>
      </c>
      <c r="L58" s="44">
        <v>0</v>
      </c>
      <c r="M58" s="45">
        <f t="shared" si="2"/>
        <v>0</v>
      </c>
      <c r="N58" s="44">
        <v>0</v>
      </c>
      <c r="O58" s="44">
        <v>0</v>
      </c>
      <c r="P58" s="46">
        <f t="shared" si="3"/>
        <v>0</v>
      </c>
      <c r="Q58" s="47">
        <f t="shared" si="4"/>
        <v>0</v>
      </c>
      <c r="R58" s="48">
        <f t="shared" si="5"/>
        <v>0</v>
      </c>
      <c r="S58" s="49">
        <v>0</v>
      </c>
      <c r="T58" s="48">
        <f t="shared" si="6"/>
        <v>0</v>
      </c>
      <c r="U58" s="50">
        <f t="shared" si="7"/>
        <v>0</v>
      </c>
      <c r="V58" s="51">
        <f t="shared" si="8"/>
        <v>0</v>
      </c>
      <c r="W58" s="52" t="str">
        <f t="shared" si="9"/>
        <v>0.0</v>
      </c>
      <c r="X58" s="53" t="str">
        <f t="shared" si="10"/>
        <v>F9</v>
      </c>
      <c r="Z58" s="71"/>
      <c r="AA58" s="71"/>
      <c r="AB58" s="71"/>
      <c r="AC58" s="71"/>
      <c r="AD58" s="71"/>
    </row>
    <row r="59" spans="1:30" x14ac:dyDescent="0.25">
      <c r="A59" s="41">
        <v>50</v>
      </c>
      <c r="B59" s="54"/>
      <c r="C59" s="55"/>
      <c r="D59" s="54"/>
      <c r="E59" s="44">
        <v>0</v>
      </c>
      <c r="F59" s="44">
        <v>0</v>
      </c>
      <c r="G59" s="45">
        <f t="shared" si="0"/>
        <v>0</v>
      </c>
      <c r="H59" s="44">
        <v>0</v>
      </c>
      <c r="I59" s="44">
        <v>0</v>
      </c>
      <c r="J59" s="45">
        <f t="shared" si="1"/>
        <v>0</v>
      </c>
      <c r="K59" s="44">
        <v>0</v>
      </c>
      <c r="L59" s="44">
        <v>0</v>
      </c>
      <c r="M59" s="45">
        <f t="shared" si="2"/>
        <v>0</v>
      </c>
      <c r="N59" s="44">
        <v>0</v>
      </c>
      <c r="O59" s="44">
        <v>0</v>
      </c>
      <c r="P59" s="46">
        <f t="shared" si="3"/>
        <v>0</v>
      </c>
      <c r="Q59" s="47">
        <f t="shared" si="4"/>
        <v>0</v>
      </c>
      <c r="R59" s="48">
        <f t="shared" si="5"/>
        <v>0</v>
      </c>
      <c r="S59" s="49">
        <v>0</v>
      </c>
      <c r="T59" s="48">
        <f t="shared" si="6"/>
        <v>0</v>
      </c>
      <c r="U59" s="50">
        <f t="shared" si="7"/>
        <v>0</v>
      </c>
      <c r="V59" s="51">
        <f t="shared" si="8"/>
        <v>0</v>
      </c>
      <c r="W59" s="52" t="str">
        <f t="shared" si="9"/>
        <v>0.0</v>
      </c>
      <c r="X59" s="53" t="str">
        <f t="shared" si="10"/>
        <v>F9</v>
      </c>
      <c r="Z59" s="71"/>
      <c r="AA59" s="71"/>
      <c r="AB59" s="71"/>
      <c r="AC59" s="71"/>
      <c r="AD59" s="71"/>
    </row>
    <row r="60" spans="1:30" x14ac:dyDescent="0.25">
      <c r="A60" s="41">
        <v>51</v>
      </c>
      <c r="B60" s="42"/>
      <c r="C60" s="55"/>
      <c r="D60" s="42"/>
      <c r="E60" s="44">
        <v>0</v>
      </c>
      <c r="F60" s="44">
        <v>0</v>
      </c>
      <c r="G60" s="45">
        <f t="shared" si="0"/>
        <v>0</v>
      </c>
      <c r="H60" s="44">
        <v>0</v>
      </c>
      <c r="I60" s="44">
        <v>0</v>
      </c>
      <c r="J60" s="45">
        <f t="shared" si="1"/>
        <v>0</v>
      </c>
      <c r="K60" s="44">
        <v>0</v>
      </c>
      <c r="L60" s="44">
        <v>0</v>
      </c>
      <c r="M60" s="45">
        <f t="shared" si="2"/>
        <v>0</v>
      </c>
      <c r="N60" s="44">
        <v>0</v>
      </c>
      <c r="O60" s="44">
        <v>0</v>
      </c>
      <c r="P60" s="46">
        <f t="shared" si="3"/>
        <v>0</v>
      </c>
      <c r="Q60" s="47">
        <f t="shared" si="4"/>
        <v>0</v>
      </c>
      <c r="R60" s="48">
        <f t="shared" si="5"/>
        <v>0</v>
      </c>
      <c r="S60" s="49">
        <v>0</v>
      </c>
      <c r="T60" s="48">
        <f t="shared" si="6"/>
        <v>0</v>
      </c>
      <c r="U60" s="50">
        <f t="shared" si="7"/>
        <v>0</v>
      </c>
      <c r="V60" s="51">
        <f t="shared" si="8"/>
        <v>0</v>
      </c>
      <c r="W60" s="52" t="str">
        <f t="shared" si="9"/>
        <v>0.0</v>
      </c>
      <c r="X60" s="53" t="str">
        <f t="shared" si="10"/>
        <v>F9</v>
      </c>
      <c r="Z60" s="71"/>
      <c r="AA60" s="71"/>
      <c r="AB60" s="71"/>
      <c r="AC60" s="71"/>
      <c r="AD60" s="71"/>
    </row>
    <row r="61" spans="1:30" x14ac:dyDescent="0.25">
      <c r="A61" s="41">
        <v>52</v>
      </c>
      <c r="B61" s="54"/>
      <c r="C61" s="55"/>
      <c r="D61" s="54"/>
      <c r="E61" s="44">
        <v>0</v>
      </c>
      <c r="F61" s="44">
        <v>0</v>
      </c>
      <c r="G61" s="45">
        <f t="shared" si="0"/>
        <v>0</v>
      </c>
      <c r="H61" s="44">
        <v>0</v>
      </c>
      <c r="I61" s="44">
        <v>0</v>
      </c>
      <c r="J61" s="45">
        <f t="shared" si="1"/>
        <v>0</v>
      </c>
      <c r="K61" s="44">
        <v>0</v>
      </c>
      <c r="L61" s="44">
        <v>0</v>
      </c>
      <c r="M61" s="45">
        <f t="shared" si="2"/>
        <v>0</v>
      </c>
      <c r="N61" s="44">
        <v>0</v>
      </c>
      <c r="O61" s="44">
        <v>0</v>
      </c>
      <c r="P61" s="46">
        <f t="shared" si="3"/>
        <v>0</v>
      </c>
      <c r="Q61" s="47">
        <f t="shared" si="4"/>
        <v>0</v>
      </c>
      <c r="R61" s="48">
        <f t="shared" si="5"/>
        <v>0</v>
      </c>
      <c r="S61" s="49">
        <v>0</v>
      </c>
      <c r="T61" s="48">
        <f t="shared" si="6"/>
        <v>0</v>
      </c>
      <c r="U61" s="50">
        <f t="shared" si="7"/>
        <v>0</v>
      </c>
      <c r="V61" s="51">
        <f t="shared" si="8"/>
        <v>0</v>
      </c>
      <c r="W61" s="52" t="str">
        <f t="shared" si="9"/>
        <v>0.0</v>
      </c>
      <c r="X61" s="53" t="str">
        <f t="shared" si="10"/>
        <v>F9</v>
      </c>
      <c r="Z61" s="71"/>
      <c r="AA61" s="71"/>
      <c r="AB61" s="71"/>
      <c r="AC61" s="71"/>
      <c r="AD61" s="71"/>
    </row>
    <row r="62" spans="1:30" x14ac:dyDescent="0.25">
      <c r="A62" s="41">
        <v>53</v>
      </c>
      <c r="B62" s="42"/>
      <c r="C62" s="77"/>
      <c r="D62" s="42"/>
      <c r="E62" s="44">
        <v>0</v>
      </c>
      <c r="F62" s="44">
        <v>0</v>
      </c>
      <c r="G62" s="45">
        <f t="shared" si="0"/>
        <v>0</v>
      </c>
      <c r="H62" s="44">
        <v>0</v>
      </c>
      <c r="I62" s="44">
        <v>0</v>
      </c>
      <c r="J62" s="45">
        <f t="shared" si="1"/>
        <v>0</v>
      </c>
      <c r="K62" s="44">
        <v>0</v>
      </c>
      <c r="L62" s="44">
        <v>0</v>
      </c>
      <c r="M62" s="45">
        <f t="shared" si="2"/>
        <v>0</v>
      </c>
      <c r="N62" s="44">
        <v>0</v>
      </c>
      <c r="O62" s="44">
        <v>0</v>
      </c>
      <c r="P62" s="46">
        <f t="shared" si="3"/>
        <v>0</v>
      </c>
      <c r="Q62" s="47">
        <f t="shared" si="4"/>
        <v>0</v>
      </c>
      <c r="R62" s="48">
        <f t="shared" si="5"/>
        <v>0</v>
      </c>
      <c r="S62" s="49">
        <v>0</v>
      </c>
      <c r="T62" s="48">
        <f t="shared" si="6"/>
        <v>0</v>
      </c>
      <c r="U62" s="50">
        <f t="shared" si="7"/>
        <v>0</v>
      </c>
      <c r="V62" s="51">
        <f t="shared" si="8"/>
        <v>0</v>
      </c>
      <c r="W62" s="52" t="str">
        <f t="shared" si="9"/>
        <v>0.0</v>
      </c>
      <c r="X62" s="53" t="str">
        <f t="shared" si="10"/>
        <v>F9</v>
      </c>
      <c r="Z62" s="71"/>
      <c r="AA62" s="71"/>
      <c r="AB62" s="71"/>
      <c r="AC62" s="71"/>
      <c r="AD62" s="71"/>
    </row>
    <row r="63" spans="1:30" x14ac:dyDescent="0.25">
      <c r="A63" s="41">
        <v>54</v>
      </c>
      <c r="B63" s="54"/>
      <c r="C63" s="55"/>
      <c r="D63" s="54"/>
      <c r="E63" s="44">
        <v>0</v>
      </c>
      <c r="F63" s="44">
        <v>0</v>
      </c>
      <c r="G63" s="45">
        <f t="shared" si="0"/>
        <v>0</v>
      </c>
      <c r="H63" s="44">
        <v>0</v>
      </c>
      <c r="I63" s="44">
        <v>0</v>
      </c>
      <c r="J63" s="45">
        <f t="shared" si="1"/>
        <v>0</v>
      </c>
      <c r="K63" s="44">
        <v>0</v>
      </c>
      <c r="L63" s="44">
        <v>0</v>
      </c>
      <c r="M63" s="45">
        <f t="shared" si="2"/>
        <v>0</v>
      </c>
      <c r="N63" s="44">
        <v>0</v>
      </c>
      <c r="O63" s="44">
        <v>0</v>
      </c>
      <c r="P63" s="46">
        <f t="shared" si="3"/>
        <v>0</v>
      </c>
      <c r="Q63" s="47">
        <f t="shared" si="4"/>
        <v>0</v>
      </c>
      <c r="R63" s="48">
        <f t="shared" si="5"/>
        <v>0</v>
      </c>
      <c r="S63" s="49">
        <v>0</v>
      </c>
      <c r="T63" s="48">
        <f t="shared" si="6"/>
        <v>0</v>
      </c>
      <c r="U63" s="50">
        <f t="shared" si="7"/>
        <v>0</v>
      </c>
      <c r="V63" s="51">
        <f t="shared" si="8"/>
        <v>0</v>
      </c>
      <c r="W63" s="52" t="str">
        <f t="shared" si="9"/>
        <v>0.0</v>
      </c>
      <c r="X63" s="53" t="str">
        <f t="shared" si="10"/>
        <v>F9</v>
      </c>
      <c r="Z63" s="71"/>
      <c r="AA63" s="71"/>
      <c r="AB63" s="71"/>
      <c r="AC63" s="71"/>
      <c r="AD63" s="71"/>
    </row>
    <row r="64" spans="1:30" x14ac:dyDescent="0.25">
      <c r="A64" s="41">
        <v>55</v>
      </c>
      <c r="B64" s="42"/>
      <c r="C64" s="55"/>
      <c r="D64" s="42"/>
      <c r="E64" s="44">
        <v>0</v>
      </c>
      <c r="F64" s="44">
        <v>0</v>
      </c>
      <c r="G64" s="45">
        <f t="shared" si="0"/>
        <v>0</v>
      </c>
      <c r="H64" s="44">
        <v>0</v>
      </c>
      <c r="I64" s="44">
        <v>0</v>
      </c>
      <c r="J64" s="45">
        <f t="shared" si="1"/>
        <v>0</v>
      </c>
      <c r="K64" s="44">
        <v>0</v>
      </c>
      <c r="L64" s="44">
        <v>0</v>
      </c>
      <c r="M64" s="45">
        <f t="shared" si="2"/>
        <v>0</v>
      </c>
      <c r="N64" s="44">
        <v>0</v>
      </c>
      <c r="O64" s="44">
        <v>0</v>
      </c>
      <c r="P64" s="46">
        <f t="shared" si="3"/>
        <v>0</v>
      </c>
      <c r="Q64" s="47">
        <f t="shared" si="4"/>
        <v>0</v>
      </c>
      <c r="R64" s="48">
        <f t="shared" si="5"/>
        <v>0</v>
      </c>
      <c r="S64" s="49">
        <v>0</v>
      </c>
      <c r="T64" s="48">
        <f t="shared" si="6"/>
        <v>0</v>
      </c>
      <c r="U64" s="50">
        <f t="shared" si="7"/>
        <v>0</v>
      </c>
      <c r="V64" s="51">
        <f t="shared" si="8"/>
        <v>0</v>
      </c>
      <c r="W64" s="52" t="str">
        <f t="shared" si="9"/>
        <v>0.0</v>
      </c>
      <c r="X64" s="53" t="str">
        <f t="shared" si="10"/>
        <v>F9</v>
      </c>
      <c r="Z64" s="71"/>
      <c r="AA64" s="71"/>
      <c r="AB64" s="71"/>
      <c r="AC64" s="71"/>
      <c r="AD64" s="71"/>
    </row>
    <row r="65" spans="1:30" x14ac:dyDescent="0.25">
      <c r="A65" s="41">
        <v>56</v>
      </c>
      <c r="B65" s="54"/>
      <c r="C65" s="55"/>
      <c r="D65" s="54"/>
      <c r="E65" s="44">
        <v>0</v>
      </c>
      <c r="F65" s="44">
        <v>0</v>
      </c>
      <c r="G65" s="45">
        <f t="shared" si="0"/>
        <v>0</v>
      </c>
      <c r="H65" s="44">
        <v>0</v>
      </c>
      <c r="I65" s="44">
        <v>0</v>
      </c>
      <c r="J65" s="45">
        <f t="shared" si="1"/>
        <v>0</v>
      </c>
      <c r="K65" s="44">
        <v>0</v>
      </c>
      <c r="L65" s="44">
        <v>0</v>
      </c>
      <c r="M65" s="45">
        <f t="shared" si="2"/>
        <v>0</v>
      </c>
      <c r="N65" s="44">
        <v>0</v>
      </c>
      <c r="O65" s="44">
        <v>0</v>
      </c>
      <c r="P65" s="46">
        <f t="shared" si="3"/>
        <v>0</v>
      </c>
      <c r="Q65" s="47">
        <f t="shared" si="4"/>
        <v>0</v>
      </c>
      <c r="R65" s="48">
        <f t="shared" si="5"/>
        <v>0</v>
      </c>
      <c r="S65" s="49">
        <v>0</v>
      </c>
      <c r="T65" s="48">
        <f t="shared" si="6"/>
        <v>0</v>
      </c>
      <c r="U65" s="50">
        <f t="shared" si="7"/>
        <v>0</v>
      </c>
      <c r="V65" s="51">
        <f t="shared" si="8"/>
        <v>0</v>
      </c>
      <c r="W65" s="52" t="str">
        <f t="shared" si="9"/>
        <v>0.0</v>
      </c>
      <c r="X65" s="53" t="str">
        <f t="shared" si="10"/>
        <v>F9</v>
      </c>
      <c r="Z65" s="71"/>
      <c r="AA65" s="71"/>
      <c r="AB65" s="71"/>
      <c r="AC65" s="71"/>
      <c r="AD65" s="71"/>
    </row>
    <row r="66" spans="1:30" x14ac:dyDescent="0.25">
      <c r="A66" s="41">
        <v>57</v>
      </c>
      <c r="B66" s="42"/>
      <c r="C66" s="55"/>
      <c r="D66" s="42"/>
      <c r="E66" s="44">
        <v>0</v>
      </c>
      <c r="F66" s="44">
        <v>0</v>
      </c>
      <c r="G66" s="45">
        <f t="shared" si="0"/>
        <v>0</v>
      </c>
      <c r="H66" s="44">
        <v>0</v>
      </c>
      <c r="I66" s="44">
        <v>0</v>
      </c>
      <c r="J66" s="45">
        <f t="shared" si="1"/>
        <v>0</v>
      </c>
      <c r="K66" s="44">
        <v>0</v>
      </c>
      <c r="L66" s="44">
        <v>0</v>
      </c>
      <c r="M66" s="45">
        <f t="shared" si="2"/>
        <v>0</v>
      </c>
      <c r="N66" s="44">
        <v>0</v>
      </c>
      <c r="O66" s="44">
        <v>0</v>
      </c>
      <c r="P66" s="46">
        <f t="shared" si="3"/>
        <v>0</v>
      </c>
      <c r="Q66" s="47">
        <f t="shared" si="4"/>
        <v>0</v>
      </c>
      <c r="R66" s="48">
        <f t="shared" si="5"/>
        <v>0</v>
      </c>
      <c r="S66" s="49">
        <v>0</v>
      </c>
      <c r="T66" s="48">
        <f t="shared" si="6"/>
        <v>0</v>
      </c>
      <c r="U66" s="50">
        <f t="shared" si="7"/>
        <v>0</v>
      </c>
      <c r="V66" s="51">
        <f t="shared" si="8"/>
        <v>0</v>
      </c>
      <c r="W66" s="52" t="str">
        <f t="shared" si="9"/>
        <v>0.0</v>
      </c>
      <c r="X66" s="53" t="str">
        <f t="shared" si="10"/>
        <v>F9</v>
      </c>
      <c r="Z66" s="71"/>
      <c r="AA66" s="71"/>
      <c r="AB66" s="71"/>
      <c r="AC66" s="71"/>
      <c r="AD66" s="71"/>
    </row>
    <row r="67" spans="1:30" x14ac:dyDescent="0.25">
      <c r="A67" s="41">
        <v>58</v>
      </c>
      <c r="B67" s="54"/>
      <c r="C67" s="55"/>
      <c r="D67" s="54"/>
      <c r="E67" s="44">
        <v>0</v>
      </c>
      <c r="F67" s="44">
        <v>0</v>
      </c>
      <c r="G67" s="45">
        <f t="shared" si="0"/>
        <v>0</v>
      </c>
      <c r="H67" s="44">
        <v>0</v>
      </c>
      <c r="I67" s="44">
        <v>0</v>
      </c>
      <c r="J67" s="45">
        <f t="shared" si="1"/>
        <v>0</v>
      </c>
      <c r="K67" s="44">
        <v>0</v>
      </c>
      <c r="L67" s="44">
        <v>0</v>
      </c>
      <c r="M67" s="45">
        <f t="shared" si="2"/>
        <v>0</v>
      </c>
      <c r="N67" s="44">
        <v>0</v>
      </c>
      <c r="O67" s="44">
        <v>0</v>
      </c>
      <c r="P67" s="46">
        <f t="shared" si="3"/>
        <v>0</v>
      </c>
      <c r="Q67" s="47">
        <f t="shared" si="4"/>
        <v>0</v>
      </c>
      <c r="R67" s="48">
        <f t="shared" si="5"/>
        <v>0</v>
      </c>
      <c r="S67" s="49">
        <v>0</v>
      </c>
      <c r="T67" s="48">
        <f t="shared" si="6"/>
        <v>0</v>
      </c>
      <c r="U67" s="50">
        <f t="shared" si="7"/>
        <v>0</v>
      </c>
      <c r="V67" s="51">
        <f t="shared" si="8"/>
        <v>0</v>
      </c>
      <c r="W67" s="52" t="str">
        <f t="shared" si="9"/>
        <v>0.0</v>
      </c>
      <c r="X67" s="53" t="str">
        <f t="shared" si="10"/>
        <v>F9</v>
      </c>
      <c r="Z67" s="71"/>
      <c r="AA67" s="71"/>
      <c r="AB67" s="71"/>
      <c r="AC67" s="71"/>
      <c r="AD67" s="71"/>
    </row>
    <row r="68" spans="1:30" x14ac:dyDescent="0.25">
      <c r="A68" s="41">
        <v>59</v>
      </c>
      <c r="B68" s="42"/>
      <c r="C68" s="55"/>
      <c r="D68" s="42"/>
      <c r="E68" s="44">
        <v>0</v>
      </c>
      <c r="F68" s="44">
        <v>0</v>
      </c>
      <c r="G68" s="45">
        <f t="shared" si="0"/>
        <v>0</v>
      </c>
      <c r="H68" s="44">
        <v>0</v>
      </c>
      <c r="I68" s="44">
        <v>0</v>
      </c>
      <c r="J68" s="45">
        <f t="shared" si="1"/>
        <v>0</v>
      </c>
      <c r="K68" s="44">
        <v>0</v>
      </c>
      <c r="L68" s="44">
        <v>0</v>
      </c>
      <c r="M68" s="45">
        <f t="shared" si="2"/>
        <v>0</v>
      </c>
      <c r="N68" s="44">
        <v>0</v>
      </c>
      <c r="O68" s="44">
        <v>0</v>
      </c>
      <c r="P68" s="46">
        <f t="shared" si="3"/>
        <v>0</v>
      </c>
      <c r="Q68" s="47">
        <f t="shared" si="4"/>
        <v>0</v>
      </c>
      <c r="R68" s="48">
        <f t="shared" si="5"/>
        <v>0</v>
      </c>
      <c r="S68" s="49">
        <v>0</v>
      </c>
      <c r="T68" s="48">
        <f t="shared" si="6"/>
        <v>0</v>
      </c>
      <c r="U68" s="50">
        <f t="shared" si="7"/>
        <v>0</v>
      </c>
      <c r="V68" s="51">
        <f t="shared" si="8"/>
        <v>0</v>
      </c>
      <c r="W68" s="52" t="str">
        <f t="shared" si="9"/>
        <v>0.0</v>
      </c>
      <c r="X68" s="53" t="str">
        <f t="shared" si="10"/>
        <v>F9</v>
      </c>
      <c r="Z68" s="71"/>
      <c r="AA68" s="71"/>
      <c r="AB68" s="71"/>
      <c r="AC68" s="71"/>
      <c r="AD68" s="71"/>
    </row>
    <row r="69" spans="1:30" x14ac:dyDescent="0.25">
      <c r="A69" s="41">
        <v>60</v>
      </c>
      <c r="B69" s="54"/>
      <c r="C69" s="55"/>
      <c r="D69" s="54"/>
      <c r="E69" s="44">
        <v>0</v>
      </c>
      <c r="F69" s="44">
        <v>0</v>
      </c>
      <c r="G69" s="45">
        <f t="shared" si="0"/>
        <v>0</v>
      </c>
      <c r="H69" s="44">
        <v>0</v>
      </c>
      <c r="I69" s="44">
        <v>0</v>
      </c>
      <c r="J69" s="45">
        <f t="shared" si="1"/>
        <v>0</v>
      </c>
      <c r="K69" s="44">
        <v>0</v>
      </c>
      <c r="L69" s="44">
        <v>0</v>
      </c>
      <c r="M69" s="45">
        <f t="shared" si="2"/>
        <v>0</v>
      </c>
      <c r="N69" s="44">
        <v>0</v>
      </c>
      <c r="O69" s="44">
        <v>0</v>
      </c>
      <c r="P69" s="46">
        <f t="shared" si="3"/>
        <v>0</v>
      </c>
      <c r="Q69" s="47">
        <f t="shared" si="4"/>
        <v>0</v>
      </c>
      <c r="R69" s="48">
        <f t="shared" si="5"/>
        <v>0</v>
      </c>
      <c r="S69" s="49">
        <v>0</v>
      </c>
      <c r="T69" s="48">
        <f t="shared" si="6"/>
        <v>0</v>
      </c>
      <c r="U69" s="50">
        <f t="shared" si="7"/>
        <v>0</v>
      </c>
      <c r="V69" s="51">
        <f t="shared" si="8"/>
        <v>0</v>
      </c>
      <c r="W69" s="52" t="str">
        <f t="shared" si="9"/>
        <v>0.0</v>
      </c>
      <c r="X69" s="53" t="str">
        <f t="shared" si="10"/>
        <v>F9</v>
      </c>
      <c r="Z69" s="71"/>
      <c r="AA69" s="71"/>
      <c r="AB69" s="71"/>
      <c r="AC69" s="71"/>
      <c r="AD69" s="71"/>
    </row>
    <row r="70" spans="1:30" x14ac:dyDescent="0.25">
      <c r="A70" s="41">
        <v>61</v>
      </c>
      <c r="B70" s="42"/>
      <c r="C70" s="55"/>
      <c r="D70" s="42"/>
      <c r="E70" s="44">
        <v>0</v>
      </c>
      <c r="F70" s="44">
        <v>0</v>
      </c>
      <c r="G70" s="45">
        <f t="shared" si="0"/>
        <v>0</v>
      </c>
      <c r="H70" s="44">
        <v>0</v>
      </c>
      <c r="I70" s="44">
        <v>0</v>
      </c>
      <c r="J70" s="45">
        <f t="shared" si="1"/>
        <v>0</v>
      </c>
      <c r="K70" s="44">
        <v>0</v>
      </c>
      <c r="L70" s="44">
        <v>0</v>
      </c>
      <c r="M70" s="45">
        <f t="shared" si="2"/>
        <v>0</v>
      </c>
      <c r="N70" s="44">
        <v>0</v>
      </c>
      <c r="O70" s="44">
        <v>0</v>
      </c>
      <c r="P70" s="46">
        <f t="shared" si="3"/>
        <v>0</v>
      </c>
      <c r="Q70" s="47">
        <f t="shared" si="4"/>
        <v>0</v>
      </c>
      <c r="R70" s="48">
        <f t="shared" si="5"/>
        <v>0</v>
      </c>
      <c r="S70" s="49">
        <v>0</v>
      </c>
      <c r="T70" s="48">
        <f t="shared" si="6"/>
        <v>0</v>
      </c>
      <c r="U70" s="50">
        <f t="shared" si="7"/>
        <v>0</v>
      </c>
      <c r="V70" s="51">
        <f t="shared" si="8"/>
        <v>0</v>
      </c>
      <c r="W70" s="52" t="str">
        <f t="shared" si="9"/>
        <v>0.0</v>
      </c>
      <c r="X70" s="53" t="str">
        <f t="shared" si="10"/>
        <v>F9</v>
      </c>
      <c r="Z70" s="71"/>
      <c r="AA70" s="71"/>
      <c r="AB70" s="71"/>
      <c r="AC70" s="71"/>
      <c r="AD70" s="71"/>
    </row>
    <row r="71" spans="1:30" x14ac:dyDescent="0.25">
      <c r="A71" s="41">
        <v>62</v>
      </c>
      <c r="B71" s="54"/>
      <c r="C71" s="77"/>
      <c r="D71" s="54"/>
      <c r="E71" s="44">
        <v>0</v>
      </c>
      <c r="F71" s="44">
        <v>0</v>
      </c>
      <c r="G71" s="45">
        <f t="shared" si="0"/>
        <v>0</v>
      </c>
      <c r="H71" s="44">
        <v>0</v>
      </c>
      <c r="I71" s="44">
        <v>0</v>
      </c>
      <c r="J71" s="45">
        <f t="shared" si="1"/>
        <v>0</v>
      </c>
      <c r="K71" s="44">
        <v>0</v>
      </c>
      <c r="L71" s="44">
        <v>0</v>
      </c>
      <c r="M71" s="45">
        <f t="shared" si="2"/>
        <v>0</v>
      </c>
      <c r="N71" s="44">
        <v>0</v>
      </c>
      <c r="O71" s="44">
        <v>0</v>
      </c>
      <c r="P71" s="46">
        <f t="shared" si="3"/>
        <v>0</v>
      </c>
      <c r="Q71" s="47">
        <f t="shared" si="4"/>
        <v>0</v>
      </c>
      <c r="R71" s="48">
        <f t="shared" si="5"/>
        <v>0</v>
      </c>
      <c r="S71" s="49">
        <v>0</v>
      </c>
      <c r="T71" s="48">
        <f t="shared" si="6"/>
        <v>0</v>
      </c>
      <c r="U71" s="50">
        <f t="shared" si="7"/>
        <v>0</v>
      </c>
      <c r="V71" s="51">
        <f t="shared" si="8"/>
        <v>0</v>
      </c>
      <c r="W71" s="52" t="str">
        <f t="shared" si="9"/>
        <v>0.0</v>
      </c>
      <c r="X71" s="53" t="str">
        <f t="shared" si="10"/>
        <v>F9</v>
      </c>
      <c r="Z71" s="71"/>
      <c r="AA71" s="71"/>
      <c r="AB71" s="71"/>
      <c r="AC71" s="71"/>
      <c r="AD71" s="71"/>
    </row>
    <row r="72" spans="1:30" x14ac:dyDescent="0.25">
      <c r="A72" s="41">
        <v>63</v>
      </c>
      <c r="B72" s="42"/>
      <c r="C72" s="55"/>
      <c r="D72" s="42"/>
      <c r="E72" s="44">
        <v>0</v>
      </c>
      <c r="F72" s="44">
        <v>0</v>
      </c>
      <c r="G72" s="45">
        <f t="shared" si="0"/>
        <v>0</v>
      </c>
      <c r="H72" s="44">
        <v>0</v>
      </c>
      <c r="I72" s="44">
        <v>0</v>
      </c>
      <c r="J72" s="45">
        <f t="shared" si="1"/>
        <v>0</v>
      </c>
      <c r="K72" s="44">
        <v>0</v>
      </c>
      <c r="L72" s="44">
        <v>0</v>
      </c>
      <c r="M72" s="45">
        <f t="shared" si="2"/>
        <v>0</v>
      </c>
      <c r="N72" s="44">
        <v>0</v>
      </c>
      <c r="O72" s="44">
        <v>0</v>
      </c>
      <c r="P72" s="46">
        <f t="shared" si="3"/>
        <v>0</v>
      </c>
      <c r="Q72" s="47">
        <f t="shared" si="4"/>
        <v>0</v>
      </c>
      <c r="R72" s="48">
        <f t="shared" si="5"/>
        <v>0</v>
      </c>
      <c r="S72" s="49">
        <v>0</v>
      </c>
      <c r="T72" s="48">
        <f t="shared" si="6"/>
        <v>0</v>
      </c>
      <c r="U72" s="50">
        <f t="shared" si="7"/>
        <v>0</v>
      </c>
      <c r="V72" s="51">
        <f t="shared" si="8"/>
        <v>0</v>
      </c>
      <c r="W72" s="52" t="str">
        <f t="shared" si="9"/>
        <v>0.0</v>
      </c>
      <c r="X72" s="53" t="str">
        <f t="shared" si="10"/>
        <v>F9</v>
      </c>
      <c r="Z72" s="71"/>
      <c r="AA72" s="71"/>
      <c r="AB72" s="71"/>
      <c r="AC72" s="71"/>
      <c r="AD72" s="71"/>
    </row>
    <row r="73" spans="1:30" x14ac:dyDescent="0.25">
      <c r="A73" s="41">
        <v>64</v>
      </c>
      <c r="B73" s="54"/>
      <c r="C73" s="55"/>
      <c r="D73" s="54"/>
      <c r="E73" s="44">
        <v>0</v>
      </c>
      <c r="F73" s="44">
        <v>0</v>
      </c>
      <c r="G73" s="45">
        <f t="shared" si="0"/>
        <v>0</v>
      </c>
      <c r="H73" s="44">
        <v>0</v>
      </c>
      <c r="I73" s="44">
        <v>0</v>
      </c>
      <c r="J73" s="45">
        <f t="shared" si="1"/>
        <v>0</v>
      </c>
      <c r="K73" s="44">
        <v>0</v>
      </c>
      <c r="L73" s="44">
        <v>0</v>
      </c>
      <c r="M73" s="45">
        <f t="shared" si="2"/>
        <v>0</v>
      </c>
      <c r="N73" s="44">
        <v>0</v>
      </c>
      <c r="O73" s="44">
        <v>0</v>
      </c>
      <c r="P73" s="46">
        <f t="shared" si="3"/>
        <v>0</v>
      </c>
      <c r="Q73" s="47">
        <f t="shared" si="4"/>
        <v>0</v>
      </c>
      <c r="R73" s="48">
        <f t="shared" si="5"/>
        <v>0</v>
      </c>
      <c r="S73" s="49">
        <v>0</v>
      </c>
      <c r="T73" s="48">
        <f t="shared" si="6"/>
        <v>0</v>
      </c>
      <c r="U73" s="50">
        <f t="shared" si="7"/>
        <v>0</v>
      </c>
      <c r="V73" s="51">
        <f t="shared" si="8"/>
        <v>0</v>
      </c>
      <c r="W73" s="52" t="str">
        <f t="shared" si="9"/>
        <v>0.0</v>
      </c>
      <c r="X73" s="53" t="str">
        <f t="shared" si="10"/>
        <v>F9</v>
      </c>
      <c r="Z73" s="71"/>
      <c r="AA73" s="71"/>
      <c r="AB73" s="71"/>
      <c r="AC73" s="71"/>
      <c r="AD73" s="71"/>
    </row>
    <row r="74" spans="1:30" x14ac:dyDescent="0.25">
      <c r="A74" s="41">
        <v>65</v>
      </c>
      <c r="B74" s="42"/>
      <c r="C74" s="55"/>
      <c r="D74" s="42"/>
      <c r="E74" s="44">
        <v>0</v>
      </c>
      <c r="F74" s="44">
        <v>0</v>
      </c>
      <c r="G74" s="45">
        <f t="shared" si="0"/>
        <v>0</v>
      </c>
      <c r="H74" s="44">
        <v>0</v>
      </c>
      <c r="I74" s="44">
        <v>0</v>
      </c>
      <c r="J74" s="45">
        <f t="shared" si="1"/>
        <v>0</v>
      </c>
      <c r="K74" s="44">
        <v>0</v>
      </c>
      <c r="L74" s="44">
        <v>0</v>
      </c>
      <c r="M74" s="45">
        <f t="shared" si="2"/>
        <v>0</v>
      </c>
      <c r="N74" s="44">
        <v>0</v>
      </c>
      <c r="O74" s="44">
        <v>0</v>
      </c>
      <c r="P74" s="46">
        <f t="shared" si="3"/>
        <v>0</v>
      </c>
      <c r="Q74" s="47">
        <f t="shared" si="4"/>
        <v>0</v>
      </c>
      <c r="R74" s="48">
        <f t="shared" si="5"/>
        <v>0</v>
      </c>
      <c r="S74" s="49">
        <v>0</v>
      </c>
      <c r="T74" s="48">
        <f t="shared" si="6"/>
        <v>0</v>
      </c>
      <c r="U74" s="50">
        <f t="shared" si="7"/>
        <v>0</v>
      </c>
      <c r="V74" s="51">
        <f t="shared" si="8"/>
        <v>0</v>
      </c>
      <c r="W74" s="52" t="str">
        <f t="shared" si="9"/>
        <v>0.0</v>
      </c>
      <c r="X74" s="53" t="str">
        <f t="shared" si="10"/>
        <v>F9</v>
      </c>
      <c r="Z74" s="71"/>
      <c r="AA74" s="71"/>
      <c r="AB74" s="71"/>
      <c r="AC74" s="71"/>
      <c r="AD74" s="71"/>
    </row>
    <row r="75" spans="1:30" x14ac:dyDescent="0.25">
      <c r="A75" s="41">
        <v>66</v>
      </c>
      <c r="B75" s="54"/>
      <c r="C75" s="55"/>
      <c r="D75" s="54"/>
      <c r="E75" s="44">
        <v>0</v>
      </c>
      <c r="F75" s="44">
        <v>0</v>
      </c>
      <c r="G75" s="45">
        <f t="shared" ref="G75:G121" si="11">MIN(100, (SUM(E75:F75)))</f>
        <v>0</v>
      </c>
      <c r="H75" s="44">
        <v>0</v>
      </c>
      <c r="I75" s="44">
        <v>0</v>
      </c>
      <c r="J75" s="45">
        <f t="shared" ref="J75:J121" si="12">MIN(100,(SUM(H75:I75)))</f>
        <v>0</v>
      </c>
      <c r="K75" s="44">
        <v>0</v>
      </c>
      <c r="L75" s="44">
        <v>0</v>
      </c>
      <c r="M75" s="45">
        <f t="shared" ref="M75:M121" si="13">MIN(100,(SUM(K75:L75)))</f>
        <v>0</v>
      </c>
      <c r="N75" s="44">
        <v>0</v>
      </c>
      <c r="O75" s="44">
        <v>0</v>
      </c>
      <c r="P75" s="46">
        <f t="shared" ref="P75:P121" si="14">MIN(500, (SUM(G75,J75,M75,N75,O75)))</f>
        <v>0</v>
      </c>
      <c r="Q75" s="47">
        <f t="shared" ref="Q75:Q121" si="15">P75/500*100</f>
        <v>0</v>
      </c>
      <c r="R75" s="48">
        <f t="shared" ref="R75:R121" si="16">MIN(50, (ROUNDUP(SUM(Q75)/2,0)))</f>
        <v>0</v>
      </c>
      <c r="S75" s="49">
        <v>0</v>
      </c>
      <c r="T75" s="48">
        <f t="shared" ref="T75:T121" si="17">MIN(50, (ROUNDUP(SUM(S75)/2,0)))</f>
        <v>0</v>
      </c>
      <c r="U75" s="50">
        <f t="shared" ref="U75:U121" si="18">MIN(100, (SUM(R75,T75)))</f>
        <v>0</v>
      </c>
      <c r="V75" s="51">
        <f t="shared" ref="V75:V121" si="19">(U75/100)</f>
        <v>0</v>
      </c>
      <c r="W75" s="52" t="str">
        <f t="shared" ref="W75:W121" si="20">IF(U75&gt;=80,"4.0",IF(U75&gt;=70,"3.5",IF(U75&gt;=65,"3.0",IF(U75&gt;=60,"2.5",IF(U75&gt;=55,"2.0",IF(U75&gt;=50,"1.5",IF(U75&gt;=45,"1.0",IF(U75&gt;=40,"0.5",IF(U75&lt;40,"0.0")))))))))</f>
        <v>0.0</v>
      </c>
      <c r="X75" s="53" t="str">
        <f t="shared" ref="X75:X121" si="21">IF(U75&gt;=80,"A1",IF(U75&gt;=70,"B2",IF(U75&gt;=65,"B3",IF(U75&gt;=60,"C4",IF(U75&gt;=55,"C5",IF(U75&gt;=50,"C6",IF(U75&gt;=45,"D7",IF(U75&gt;=40,"E8",IF(U75&lt;40,"F9")))))))))</f>
        <v>F9</v>
      </c>
      <c r="Z75" s="71"/>
      <c r="AA75" s="71"/>
      <c r="AB75" s="71"/>
      <c r="AC75" s="71"/>
      <c r="AD75" s="71"/>
    </row>
    <row r="76" spans="1:30" x14ac:dyDescent="0.25">
      <c r="A76" s="41">
        <v>67</v>
      </c>
      <c r="B76" s="42"/>
      <c r="C76" s="55"/>
      <c r="D76" s="42"/>
      <c r="E76" s="44">
        <v>0</v>
      </c>
      <c r="F76" s="44">
        <v>0</v>
      </c>
      <c r="G76" s="45">
        <f t="shared" si="11"/>
        <v>0</v>
      </c>
      <c r="H76" s="44">
        <v>0</v>
      </c>
      <c r="I76" s="44">
        <v>0</v>
      </c>
      <c r="J76" s="45">
        <f t="shared" si="12"/>
        <v>0</v>
      </c>
      <c r="K76" s="44">
        <v>0</v>
      </c>
      <c r="L76" s="44">
        <v>0</v>
      </c>
      <c r="M76" s="45">
        <f t="shared" si="13"/>
        <v>0</v>
      </c>
      <c r="N76" s="44">
        <v>0</v>
      </c>
      <c r="O76" s="44">
        <v>0</v>
      </c>
      <c r="P76" s="46">
        <f t="shared" si="14"/>
        <v>0</v>
      </c>
      <c r="Q76" s="47">
        <f t="shared" si="15"/>
        <v>0</v>
      </c>
      <c r="R76" s="48">
        <f t="shared" si="16"/>
        <v>0</v>
      </c>
      <c r="S76" s="49">
        <v>0</v>
      </c>
      <c r="T76" s="48">
        <f t="shared" si="17"/>
        <v>0</v>
      </c>
      <c r="U76" s="50">
        <f t="shared" si="18"/>
        <v>0</v>
      </c>
      <c r="V76" s="51">
        <f t="shared" si="19"/>
        <v>0</v>
      </c>
      <c r="W76" s="52" t="str">
        <f t="shared" si="20"/>
        <v>0.0</v>
      </c>
      <c r="X76" s="53" t="str">
        <f t="shared" si="21"/>
        <v>F9</v>
      </c>
      <c r="Z76" s="71"/>
      <c r="AA76" s="71"/>
      <c r="AB76" s="71"/>
      <c r="AC76" s="71"/>
      <c r="AD76" s="71"/>
    </row>
    <row r="77" spans="1:30" x14ac:dyDescent="0.25">
      <c r="A77" s="41">
        <v>68</v>
      </c>
      <c r="B77" s="54"/>
      <c r="C77" s="55"/>
      <c r="D77" s="54"/>
      <c r="E77" s="44">
        <v>0</v>
      </c>
      <c r="F77" s="44">
        <v>0</v>
      </c>
      <c r="G77" s="45">
        <f t="shared" si="11"/>
        <v>0</v>
      </c>
      <c r="H77" s="44">
        <v>0</v>
      </c>
      <c r="I77" s="44">
        <v>0</v>
      </c>
      <c r="J77" s="45">
        <f t="shared" si="12"/>
        <v>0</v>
      </c>
      <c r="K77" s="44">
        <v>0</v>
      </c>
      <c r="L77" s="44">
        <v>0</v>
      </c>
      <c r="M77" s="45">
        <f t="shared" si="13"/>
        <v>0</v>
      </c>
      <c r="N77" s="44">
        <v>0</v>
      </c>
      <c r="O77" s="44">
        <v>0</v>
      </c>
      <c r="P77" s="46">
        <f t="shared" si="14"/>
        <v>0</v>
      </c>
      <c r="Q77" s="47">
        <f t="shared" si="15"/>
        <v>0</v>
      </c>
      <c r="R77" s="48">
        <f t="shared" si="16"/>
        <v>0</v>
      </c>
      <c r="S77" s="49">
        <v>0</v>
      </c>
      <c r="T77" s="48">
        <f t="shared" si="17"/>
        <v>0</v>
      </c>
      <c r="U77" s="50">
        <f t="shared" si="18"/>
        <v>0</v>
      </c>
      <c r="V77" s="51">
        <f t="shared" si="19"/>
        <v>0</v>
      </c>
      <c r="W77" s="52" t="str">
        <f t="shared" si="20"/>
        <v>0.0</v>
      </c>
      <c r="X77" s="53" t="str">
        <f t="shared" si="21"/>
        <v>F9</v>
      </c>
      <c r="Z77" s="71"/>
      <c r="AA77" s="71"/>
      <c r="AB77" s="71"/>
      <c r="AC77" s="71"/>
      <c r="AD77" s="71"/>
    </row>
    <row r="78" spans="1:30" x14ac:dyDescent="0.25">
      <c r="A78" s="41">
        <v>69</v>
      </c>
      <c r="B78" s="42"/>
      <c r="C78" s="55"/>
      <c r="D78" s="42"/>
      <c r="E78" s="44">
        <v>0</v>
      </c>
      <c r="F78" s="44">
        <v>0</v>
      </c>
      <c r="G78" s="45">
        <f t="shared" si="11"/>
        <v>0</v>
      </c>
      <c r="H78" s="44">
        <v>0</v>
      </c>
      <c r="I78" s="44">
        <v>0</v>
      </c>
      <c r="J78" s="45">
        <f t="shared" si="12"/>
        <v>0</v>
      </c>
      <c r="K78" s="44">
        <v>0</v>
      </c>
      <c r="L78" s="44">
        <v>0</v>
      </c>
      <c r="M78" s="45">
        <f t="shared" si="13"/>
        <v>0</v>
      </c>
      <c r="N78" s="44">
        <v>0</v>
      </c>
      <c r="O78" s="44">
        <v>0</v>
      </c>
      <c r="P78" s="46">
        <f t="shared" si="14"/>
        <v>0</v>
      </c>
      <c r="Q78" s="47">
        <f t="shared" si="15"/>
        <v>0</v>
      </c>
      <c r="R78" s="48">
        <f t="shared" si="16"/>
        <v>0</v>
      </c>
      <c r="S78" s="49">
        <v>0</v>
      </c>
      <c r="T78" s="48">
        <f t="shared" si="17"/>
        <v>0</v>
      </c>
      <c r="U78" s="50">
        <f t="shared" si="18"/>
        <v>0</v>
      </c>
      <c r="V78" s="51">
        <f t="shared" si="19"/>
        <v>0</v>
      </c>
      <c r="W78" s="52" t="str">
        <f t="shared" si="20"/>
        <v>0.0</v>
      </c>
      <c r="X78" s="53" t="str">
        <f t="shared" si="21"/>
        <v>F9</v>
      </c>
      <c r="Z78" s="71"/>
      <c r="AA78" s="71"/>
      <c r="AB78" s="71"/>
      <c r="AC78" s="71"/>
      <c r="AD78" s="71"/>
    </row>
    <row r="79" spans="1:30" x14ac:dyDescent="0.25">
      <c r="A79" s="41">
        <v>70</v>
      </c>
      <c r="B79" s="54"/>
      <c r="C79" s="55"/>
      <c r="D79" s="54"/>
      <c r="E79" s="44">
        <v>0</v>
      </c>
      <c r="F79" s="44">
        <v>0</v>
      </c>
      <c r="G79" s="45">
        <f t="shared" si="11"/>
        <v>0</v>
      </c>
      <c r="H79" s="44">
        <v>0</v>
      </c>
      <c r="I79" s="44">
        <v>0</v>
      </c>
      <c r="J79" s="45">
        <f t="shared" si="12"/>
        <v>0</v>
      </c>
      <c r="K79" s="44">
        <v>0</v>
      </c>
      <c r="L79" s="44">
        <v>0</v>
      </c>
      <c r="M79" s="45">
        <f t="shared" si="13"/>
        <v>0</v>
      </c>
      <c r="N79" s="44">
        <v>0</v>
      </c>
      <c r="O79" s="44">
        <v>0</v>
      </c>
      <c r="P79" s="46">
        <f t="shared" si="14"/>
        <v>0</v>
      </c>
      <c r="Q79" s="47">
        <f t="shared" si="15"/>
        <v>0</v>
      </c>
      <c r="R79" s="48">
        <f t="shared" si="16"/>
        <v>0</v>
      </c>
      <c r="S79" s="49">
        <v>0</v>
      </c>
      <c r="T79" s="48">
        <f t="shared" si="17"/>
        <v>0</v>
      </c>
      <c r="U79" s="50">
        <f t="shared" si="18"/>
        <v>0</v>
      </c>
      <c r="V79" s="51">
        <f t="shared" si="19"/>
        <v>0</v>
      </c>
      <c r="W79" s="52" t="str">
        <f t="shared" si="20"/>
        <v>0.0</v>
      </c>
      <c r="X79" s="53" t="str">
        <f t="shared" si="21"/>
        <v>F9</v>
      </c>
      <c r="Z79" s="71"/>
      <c r="AA79" s="71"/>
      <c r="AB79" s="71"/>
      <c r="AC79" s="71"/>
      <c r="AD79" s="71"/>
    </row>
    <row r="80" spans="1:30" x14ac:dyDescent="0.25">
      <c r="A80" s="41">
        <v>71</v>
      </c>
      <c r="B80" s="42"/>
      <c r="C80" s="55"/>
      <c r="D80" s="42"/>
      <c r="E80" s="44">
        <v>0</v>
      </c>
      <c r="F80" s="44">
        <v>0</v>
      </c>
      <c r="G80" s="45">
        <f t="shared" si="11"/>
        <v>0</v>
      </c>
      <c r="H80" s="44">
        <v>0</v>
      </c>
      <c r="I80" s="44">
        <v>0</v>
      </c>
      <c r="J80" s="45">
        <f t="shared" si="12"/>
        <v>0</v>
      </c>
      <c r="K80" s="44">
        <v>0</v>
      </c>
      <c r="L80" s="44">
        <v>0</v>
      </c>
      <c r="M80" s="45">
        <f t="shared" si="13"/>
        <v>0</v>
      </c>
      <c r="N80" s="44">
        <v>0</v>
      </c>
      <c r="O80" s="44">
        <v>0</v>
      </c>
      <c r="P80" s="46">
        <f t="shared" si="14"/>
        <v>0</v>
      </c>
      <c r="Q80" s="47">
        <f t="shared" si="15"/>
        <v>0</v>
      </c>
      <c r="R80" s="48">
        <f t="shared" si="16"/>
        <v>0</v>
      </c>
      <c r="S80" s="49">
        <v>0</v>
      </c>
      <c r="T80" s="48">
        <f t="shared" si="17"/>
        <v>0</v>
      </c>
      <c r="U80" s="50">
        <f t="shared" si="18"/>
        <v>0</v>
      </c>
      <c r="V80" s="51">
        <f t="shared" si="19"/>
        <v>0</v>
      </c>
      <c r="W80" s="52" t="str">
        <f t="shared" si="20"/>
        <v>0.0</v>
      </c>
      <c r="X80" s="53" t="str">
        <f t="shared" si="21"/>
        <v>F9</v>
      </c>
      <c r="Z80" s="71"/>
      <c r="AA80" s="71"/>
      <c r="AB80" s="71"/>
      <c r="AC80" s="71"/>
      <c r="AD80" s="71"/>
    </row>
    <row r="81" spans="1:30" x14ac:dyDescent="0.25">
      <c r="A81" s="41">
        <v>72</v>
      </c>
      <c r="B81" s="54"/>
      <c r="C81" s="55"/>
      <c r="D81" s="54"/>
      <c r="E81" s="44">
        <v>0</v>
      </c>
      <c r="F81" s="44">
        <v>0</v>
      </c>
      <c r="G81" s="45">
        <f t="shared" si="11"/>
        <v>0</v>
      </c>
      <c r="H81" s="44">
        <v>0</v>
      </c>
      <c r="I81" s="44">
        <v>0</v>
      </c>
      <c r="J81" s="45">
        <f t="shared" si="12"/>
        <v>0</v>
      </c>
      <c r="K81" s="44">
        <v>0</v>
      </c>
      <c r="L81" s="44">
        <v>0</v>
      </c>
      <c r="M81" s="45">
        <f t="shared" si="13"/>
        <v>0</v>
      </c>
      <c r="N81" s="44">
        <v>0</v>
      </c>
      <c r="O81" s="44">
        <v>0</v>
      </c>
      <c r="P81" s="46">
        <f t="shared" si="14"/>
        <v>0</v>
      </c>
      <c r="Q81" s="47">
        <f t="shared" si="15"/>
        <v>0</v>
      </c>
      <c r="R81" s="48">
        <f t="shared" si="16"/>
        <v>0</v>
      </c>
      <c r="S81" s="49">
        <v>0</v>
      </c>
      <c r="T81" s="48">
        <f t="shared" si="17"/>
        <v>0</v>
      </c>
      <c r="U81" s="50">
        <f t="shared" si="18"/>
        <v>0</v>
      </c>
      <c r="V81" s="51">
        <f t="shared" si="19"/>
        <v>0</v>
      </c>
      <c r="W81" s="52" t="str">
        <f t="shared" si="20"/>
        <v>0.0</v>
      </c>
      <c r="X81" s="53" t="str">
        <f t="shared" si="21"/>
        <v>F9</v>
      </c>
      <c r="Z81" s="71"/>
      <c r="AA81" s="71"/>
      <c r="AB81" s="71"/>
      <c r="AC81" s="71"/>
      <c r="AD81" s="71"/>
    </row>
    <row r="82" spans="1:30" x14ac:dyDescent="0.25">
      <c r="A82" s="41">
        <v>73</v>
      </c>
      <c r="B82" s="42"/>
      <c r="C82" s="55"/>
      <c r="D82" s="42"/>
      <c r="E82" s="44">
        <v>0</v>
      </c>
      <c r="F82" s="44">
        <v>0</v>
      </c>
      <c r="G82" s="45">
        <f t="shared" si="11"/>
        <v>0</v>
      </c>
      <c r="H82" s="44">
        <v>0</v>
      </c>
      <c r="I82" s="44">
        <v>0</v>
      </c>
      <c r="J82" s="45">
        <f t="shared" si="12"/>
        <v>0</v>
      </c>
      <c r="K82" s="44">
        <v>0</v>
      </c>
      <c r="L82" s="44">
        <v>0</v>
      </c>
      <c r="M82" s="45">
        <f t="shared" si="13"/>
        <v>0</v>
      </c>
      <c r="N82" s="44">
        <v>0</v>
      </c>
      <c r="O82" s="44">
        <v>0</v>
      </c>
      <c r="P82" s="46">
        <f t="shared" si="14"/>
        <v>0</v>
      </c>
      <c r="Q82" s="47">
        <f t="shared" si="15"/>
        <v>0</v>
      </c>
      <c r="R82" s="48">
        <f t="shared" si="16"/>
        <v>0</v>
      </c>
      <c r="S82" s="49">
        <v>0</v>
      </c>
      <c r="T82" s="48">
        <f t="shared" si="17"/>
        <v>0</v>
      </c>
      <c r="U82" s="50">
        <f t="shared" si="18"/>
        <v>0</v>
      </c>
      <c r="V82" s="51">
        <f t="shared" si="19"/>
        <v>0</v>
      </c>
      <c r="W82" s="52" t="str">
        <f t="shared" si="20"/>
        <v>0.0</v>
      </c>
      <c r="X82" s="53" t="str">
        <f t="shared" si="21"/>
        <v>F9</v>
      </c>
      <c r="Z82" s="71"/>
      <c r="AA82" s="71"/>
      <c r="AB82" s="71"/>
      <c r="AC82" s="71"/>
      <c r="AD82" s="71"/>
    </row>
    <row r="83" spans="1:30" ht="15.75" customHeight="1" x14ac:dyDescent="0.25">
      <c r="A83" s="41">
        <v>74</v>
      </c>
      <c r="B83" s="78"/>
      <c r="C83" s="55"/>
      <c r="D83" s="79"/>
      <c r="E83" s="44">
        <v>0</v>
      </c>
      <c r="F83" s="44">
        <v>0</v>
      </c>
      <c r="G83" s="45">
        <f t="shared" si="11"/>
        <v>0</v>
      </c>
      <c r="H83" s="44">
        <v>0</v>
      </c>
      <c r="I83" s="44">
        <v>0</v>
      </c>
      <c r="J83" s="45">
        <f t="shared" si="12"/>
        <v>0</v>
      </c>
      <c r="K83" s="44">
        <v>0</v>
      </c>
      <c r="L83" s="44">
        <v>0</v>
      </c>
      <c r="M83" s="45">
        <f t="shared" si="13"/>
        <v>0</v>
      </c>
      <c r="N83" s="44">
        <v>0</v>
      </c>
      <c r="O83" s="44">
        <v>0</v>
      </c>
      <c r="P83" s="46">
        <f t="shared" si="14"/>
        <v>0</v>
      </c>
      <c r="Q83" s="47">
        <f t="shared" si="15"/>
        <v>0</v>
      </c>
      <c r="R83" s="48">
        <f t="shared" si="16"/>
        <v>0</v>
      </c>
      <c r="S83" s="49">
        <v>0</v>
      </c>
      <c r="T83" s="48">
        <f t="shared" si="17"/>
        <v>0</v>
      </c>
      <c r="U83" s="50">
        <f t="shared" si="18"/>
        <v>0</v>
      </c>
      <c r="V83" s="51">
        <f t="shared" si="19"/>
        <v>0</v>
      </c>
      <c r="W83" s="52" t="str">
        <f t="shared" si="20"/>
        <v>0.0</v>
      </c>
      <c r="X83" s="53" t="str">
        <f t="shared" si="21"/>
        <v>F9</v>
      </c>
      <c r="Z83" s="71"/>
      <c r="AA83" s="71"/>
      <c r="AB83" s="71"/>
      <c r="AC83" s="71"/>
      <c r="AD83" s="71"/>
    </row>
    <row r="84" spans="1:30" ht="15.75" customHeight="1" x14ac:dyDescent="0.25">
      <c r="A84" s="41">
        <v>75</v>
      </c>
      <c r="B84" s="78"/>
      <c r="C84" s="55"/>
      <c r="D84" s="79"/>
      <c r="E84" s="44">
        <v>0</v>
      </c>
      <c r="F84" s="44">
        <v>0</v>
      </c>
      <c r="G84" s="45">
        <f t="shared" si="11"/>
        <v>0</v>
      </c>
      <c r="H84" s="44">
        <v>0</v>
      </c>
      <c r="I84" s="44">
        <v>0</v>
      </c>
      <c r="J84" s="45">
        <f t="shared" si="12"/>
        <v>0</v>
      </c>
      <c r="K84" s="44">
        <v>0</v>
      </c>
      <c r="L84" s="44">
        <v>0</v>
      </c>
      <c r="M84" s="45">
        <f t="shared" si="13"/>
        <v>0</v>
      </c>
      <c r="N84" s="44">
        <v>0</v>
      </c>
      <c r="O84" s="44">
        <v>0</v>
      </c>
      <c r="P84" s="46">
        <f t="shared" si="14"/>
        <v>0</v>
      </c>
      <c r="Q84" s="47">
        <f t="shared" si="15"/>
        <v>0</v>
      </c>
      <c r="R84" s="48">
        <f t="shared" si="16"/>
        <v>0</v>
      </c>
      <c r="S84" s="49">
        <v>0</v>
      </c>
      <c r="T84" s="48">
        <f t="shared" si="17"/>
        <v>0</v>
      </c>
      <c r="U84" s="50">
        <f t="shared" si="18"/>
        <v>0</v>
      </c>
      <c r="V84" s="51">
        <f t="shared" si="19"/>
        <v>0</v>
      </c>
      <c r="W84" s="52" t="str">
        <f t="shared" si="20"/>
        <v>0.0</v>
      </c>
      <c r="X84" s="53" t="str">
        <f t="shared" si="21"/>
        <v>F9</v>
      </c>
      <c r="Z84" s="71"/>
      <c r="AA84" s="71"/>
      <c r="AB84" s="71"/>
      <c r="AC84" s="71"/>
      <c r="AD84" s="71"/>
    </row>
    <row r="85" spans="1:30" ht="15.75" customHeight="1" x14ac:dyDescent="0.25">
      <c r="A85" s="41">
        <v>76</v>
      </c>
      <c r="B85" s="78"/>
      <c r="C85" s="55"/>
      <c r="D85" s="79"/>
      <c r="E85" s="44">
        <v>0</v>
      </c>
      <c r="F85" s="44">
        <v>0</v>
      </c>
      <c r="G85" s="45">
        <f t="shared" si="11"/>
        <v>0</v>
      </c>
      <c r="H85" s="44">
        <v>0</v>
      </c>
      <c r="I85" s="44">
        <v>0</v>
      </c>
      <c r="J85" s="45">
        <f t="shared" si="12"/>
        <v>0</v>
      </c>
      <c r="K85" s="44">
        <v>0</v>
      </c>
      <c r="L85" s="44">
        <v>0</v>
      </c>
      <c r="M85" s="45">
        <f t="shared" si="13"/>
        <v>0</v>
      </c>
      <c r="N85" s="44">
        <v>0</v>
      </c>
      <c r="O85" s="44">
        <v>0</v>
      </c>
      <c r="P85" s="46">
        <f t="shared" si="14"/>
        <v>0</v>
      </c>
      <c r="Q85" s="47">
        <f t="shared" si="15"/>
        <v>0</v>
      </c>
      <c r="R85" s="48">
        <f t="shared" si="16"/>
        <v>0</v>
      </c>
      <c r="S85" s="49">
        <v>0</v>
      </c>
      <c r="T85" s="48">
        <f t="shared" si="17"/>
        <v>0</v>
      </c>
      <c r="U85" s="50">
        <f t="shared" si="18"/>
        <v>0</v>
      </c>
      <c r="V85" s="51">
        <f t="shared" si="19"/>
        <v>0</v>
      </c>
      <c r="W85" s="52" t="str">
        <f t="shared" si="20"/>
        <v>0.0</v>
      </c>
      <c r="X85" s="53" t="str">
        <f t="shared" si="21"/>
        <v>F9</v>
      </c>
      <c r="Z85" s="71"/>
      <c r="AA85" s="71"/>
      <c r="AB85" s="71"/>
      <c r="AC85" s="71"/>
      <c r="AD85" s="71"/>
    </row>
    <row r="86" spans="1:30" ht="15.75" customHeight="1" x14ac:dyDescent="0.25">
      <c r="A86" s="41">
        <v>77</v>
      </c>
      <c r="B86" s="78"/>
      <c r="C86" s="55"/>
      <c r="D86" s="79"/>
      <c r="E86" s="44">
        <v>0</v>
      </c>
      <c r="F86" s="44">
        <v>0</v>
      </c>
      <c r="G86" s="45">
        <f t="shared" si="11"/>
        <v>0</v>
      </c>
      <c r="H86" s="44">
        <v>0</v>
      </c>
      <c r="I86" s="44">
        <v>0</v>
      </c>
      <c r="J86" s="45">
        <f t="shared" si="12"/>
        <v>0</v>
      </c>
      <c r="K86" s="44">
        <v>0</v>
      </c>
      <c r="L86" s="44">
        <v>0</v>
      </c>
      <c r="M86" s="45">
        <f t="shared" si="13"/>
        <v>0</v>
      </c>
      <c r="N86" s="44">
        <v>0</v>
      </c>
      <c r="O86" s="44">
        <v>0</v>
      </c>
      <c r="P86" s="46">
        <f t="shared" si="14"/>
        <v>0</v>
      </c>
      <c r="Q86" s="47">
        <f t="shared" si="15"/>
        <v>0</v>
      </c>
      <c r="R86" s="48">
        <f t="shared" si="16"/>
        <v>0</v>
      </c>
      <c r="S86" s="49">
        <v>0</v>
      </c>
      <c r="T86" s="48">
        <f t="shared" si="17"/>
        <v>0</v>
      </c>
      <c r="U86" s="50">
        <f t="shared" si="18"/>
        <v>0</v>
      </c>
      <c r="V86" s="51">
        <f t="shared" si="19"/>
        <v>0</v>
      </c>
      <c r="W86" s="52" t="str">
        <f t="shared" si="20"/>
        <v>0.0</v>
      </c>
      <c r="X86" s="53" t="str">
        <f t="shared" si="21"/>
        <v>F9</v>
      </c>
      <c r="Z86" s="71"/>
      <c r="AA86" s="71"/>
      <c r="AB86" s="71"/>
      <c r="AC86" s="71"/>
      <c r="AD86" s="71"/>
    </row>
    <row r="87" spans="1:30" ht="15.75" customHeight="1" x14ac:dyDescent="0.25">
      <c r="A87" s="41">
        <v>78</v>
      </c>
      <c r="B87" s="78"/>
      <c r="C87" s="55"/>
      <c r="D87" s="79"/>
      <c r="E87" s="44">
        <v>0</v>
      </c>
      <c r="F87" s="44">
        <v>0</v>
      </c>
      <c r="G87" s="45">
        <f t="shared" si="11"/>
        <v>0</v>
      </c>
      <c r="H87" s="44">
        <v>0</v>
      </c>
      <c r="I87" s="44">
        <v>0</v>
      </c>
      <c r="J87" s="45">
        <f t="shared" si="12"/>
        <v>0</v>
      </c>
      <c r="K87" s="44">
        <v>0</v>
      </c>
      <c r="L87" s="44">
        <v>0</v>
      </c>
      <c r="M87" s="45">
        <f t="shared" si="13"/>
        <v>0</v>
      </c>
      <c r="N87" s="44">
        <v>0</v>
      </c>
      <c r="O87" s="44">
        <v>0</v>
      </c>
      <c r="P87" s="46">
        <f t="shared" si="14"/>
        <v>0</v>
      </c>
      <c r="Q87" s="47">
        <f t="shared" si="15"/>
        <v>0</v>
      </c>
      <c r="R87" s="48">
        <f t="shared" si="16"/>
        <v>0</v>
      </c>
      <c r="S87" s="49">
        <v>0</v>
      </c>
      <c r="T87" s="48">
        <f t="shared" si="17"/>
        <v>0</v>
      </c>
      <c r="U87" s="50">
        <f t="shared" si="18"/>
        <v>0</v>
      </c>
      <c r="V87" s="51">
        <f t="shared" si="19"/>
        <v>0</v>
      </c>
      <c r="W87" s="52" t="str">
        <f t="shared" si="20"/>
        <v>0.0</v>
      </c>
      <c r="X87" s="53" t="str">
        <f t="shared" si="21"/>
        <v>F9</v>
      </c>
      <c r="Z87" s="71"/>
      <c r="AA87" s="71"/>
      <c r="AB87" s="71"/>
      <c r="AC87" s="71"/>
      <c r="AD87" s="71"/>
    </row>
    <row r="88" spans="1:30" ht="15.75" customHeight="1" x14ac:dyDescent="0.25">
      <c r="A88" s="41">
        <v>79</v>
      </c>
      <c r="B88" s="80"/>
      <c r="C88" s="55"/>
      <c r="D88" s="81"/>
      <c r="E88" s="44">
        <v>0</v>
      </c>
      <c r="F88" s="44">
        <v>0</v>
      </c>
      <c r="G88" s="45">
        <f t="shared" si="11"/>
        <v>0</v>
      </c>
      <c r="H88" s="44">
        <v>0</v>
      </c>
      <c r="I88" s="44">
        <v>0</v>
      </c>
      <c r="J88" s="45">
        <f t="shared" si="12"/>
        <v>0</v>
      </c>
      <c r="K88" s="44">
        <v>0</v>
      </c>
      <c r="L88" s="44">
        <v>0</v>
      </c>
      <c r="M88" s="45">
        <f t="shared" si="13"/>
        <v>0</v>
      </c>
      <c r="N88" s="44">
        <v>0</v>
      </c>
      <c r="O88" s="44">
        <v>0</v>
      </c>
      <c r="P88" s="46">
        <f t="shared" si="14"/>
        <v>0</v>
      </c>
      <c r="Q88" s="47">
        <f t="shared" si="15"/>
        <v>0</v>
      </c>
      <c r="R88" s="48">
        <f t="shared" si="16"/>
        <v>0</v>
      </c>
      <c r="S88" s="49">
        <v>0</v>
      </c>
      <c r="T88" s="48">
        <f t="shared" si="17"/>
        <v>0</v>
      </c>
      <c r="U88" s="50">
        <f t="shared" si="18"/>
        <v>0</v>
      </c>
      <c r="V88" s="51">
        <f t="shared" si="19"/>
        <v>0</v>
      </c>
      <c r="W88" s="52" t="str">
        <f t="shared" si="20"/>
        <v>0.0</v>
      </c>
      <c r="X88" s="53" t="str">
        <f t="shared" si="21"/>
        <v>F9</v>
      </c>
      <c r="Z88" s="71"/>
      <c r="AA88" s="71"/>
      <c r="AB88" s="71"/>
      <c r="AC88" s="71"/>
      <c r="AD88" s="71"/>
    </row>
    <row r="89" spans="1:30" ht="15.75" customHeight="1" x14ac:dyDescent="0.25">
      <c r="A89" s="41">
        <v>80</v>
      </c>
      <c r="B89" s="80"/>
      <c r="C89" s="55"/>
      <c r="D89" s="81"/>
      <c r="E89" s="44">
        <v>0</v>
      </c>
      <c r="F89" s="44">
        <v>0</v>
      </c>
      <c r="G89" s="45">
        <f t="shared" si="11"/>
        <v>0</v>
      </c>
      <c r="H89" s="44">
        <v>0</v>
      </c>
      <c r="I89" s="44">
        <v>0</v>
      </c>
      <c r="J89" s="45">
        <f t="shared" si="12"/>
        <v>0</v>
      </c>
      <c r="K89" s="44">
        <v>0</v>
      </c>
      <c r="L89" s="44">
        <v>0</v>
      </c>
      <c r="M89" s="45">
        <f t="shared" si="13"/>
        <v>0</v>
      </c>
      <c r="N89" s="44">
        <v>0</v>
      </c>
      <c r="O89" s="44">
        <v>0</v>
      </c>
      <c r="P89" s="46">
        <f t="shared" si="14"/>
        <v>0</v>
      </c>
      <c r="Q89" s="47">
        <f t="shared" si="15"/>
        <v>0</v>
      </c>
      <c r="R89" s="48">
        <f t="shared" si="16"/>
        <v>0</v>
      </c>
      <c r="S89" s="49">
        <v>0</v>
      </c>
      <c r="T89" s="48">
        <f t="shared" si="17"/>
        <v>0</v>
      </c>
      <c r="U89" s="50">
        <f t="shared" si="18"/>
        <v>0</v>
      </c>
      <c r="V89" s="51">
        <f t="shared" si="19"/>
        <v>0</v>
      </c>
      <c r="W89" s="52" t="str">
        <f t="shared" si="20"/>
        <v>0.0</v>
      </c>
      <c r="X89" s="53" t="str">
        <f t="shared" si="21"/>
        <v>F9</v>
      </c>
      <c r="Z89" s="71"/>
      <c r="AA89" s="71"/>
      <c r="AB89" s="71"/>
      <c r="AC89" s="71"/>
      <c r="AD89" s="71"/>
    </row>
    <row r="90" spans="1:30" ht="15.75" customHeight="1" x14ac:dyDescent="0.25">
      <c r="A90" s="41">
        <v>81</v>
      </c>
      <c r="B90" s="82"/>
      <c r="C90" s="55"/>
      <c r="D90" s="83"/>
      <c r="E90" s="44">
        <v>0</v>
      </c>
      <c r="F90" s="44">
        <v>0</v>
      </c>
      <c r="G90" s="45">
        <f t="shared" si="11"/>
        <v>0</v>
      </c>
      <c r="H90" s="44">
        <v>0</v>
      </c>
      <c r="I90" s="44">
        <v>0</v>
      </c>
      <c r="J90" s="45">
        <f t="shared" si="12"/>
        <v>0</v>
      </c>
      <c r="K90" s="44">
        <v>0</v>
      </c>
      <c r="L90" s="44">
        <v>0</v>
      </c>
      <c r="M90" s="45">
        <f t="shared" si="13"/>
        <v>0</v>
      </c>
      <c r="N90" s="44">
        <v>0</v>
      </c>
      <c r="O90" s="44">
        <v>0</v>
      </c>
      <c r="P90" s="46">
        <f t="shared" si="14"/>
        <v>0</v>
      </c>
      <c r="Q90" s="47">
        <f t="shared" si="15"/>
        <v>0</v>
      </c>
      <c r="R90" s="48">
        <f t="shared" si="16"/>
        <v>0</v>
      </c>
      <c r="S90" s="49">
        <v>0</v>
      </c>
      <c r="T90" s="48">
        <f t="shared" si="17"/>
        <v>0</v>
      </c>
      <c r="U90" s="50">
        <f t="shared" si="18"/>
        <v>0</v>
      </c>
      <c r="V90" s="51">
        <f t="shared" si="19"/>
        <v>0</v>
      </c>
      <c r="W90" s="52" t="str">
        <f t="shared" si="20"/>
        <v>0.0</v>
      </c>
      <c r="X90" s="53" t="str">
        <f t="shared" si="21"/>
        <v>F9</v>
      </c>
      <c r="Z90" s="71"/>
      <c r="AA90" s="71"/>
      <c r="AB90" s="71"/>
      <c r="AC90" s="71"/>
      <c r="AD90" s="71"/>
    </row>
    <row r="91" spans="1:30" ht="15.75" customHeight="1" x14ac:dyDescent="0.25">
      <c r="A91" s="41">
        <v>82</v>
      </c>
      <c r="B91" s="82"/>
      <c r="C91" s="84"/>
      <c r="D91" s="83"/>
      <c r="E91" s="44">
        <v>0</v>
      </c>
      <c r="F91" s="44">
        <v>0</v>
      </c>
      <c r="G91" s="45">
        <f t="shared" si="11"/>
        <v>0</v>
      </c>
      <c r="H91" s="44">
        <v>0</v>
      </c>
      <c r="I91" s="44">
        <v>0</v>
      </c>
      <c r="J91" s="45">
        <f t="shared" si="12"/>
        <v>0</v>
      </c>
      <c r="K91" s="44">
        <v>0</v>
      </c>
      <c r="L91" s="44">
        <v>0</v>
      </c>
      <c r="M91" s="45">
        <f t="shared" si="13"/>
        <v>0</v>
      </c>
      <c r="N91" s="44">
        <v>0</v>
      </c>
      <c r="O91" s="44">
        <v>0</v>
      </c>
      <c r="P91" s="46">
        <f t="shared" si="14"/>
        <v>0</v>
      </c>
      <c r="Q91" s="47">
        <f t="shared" si="15"/>
        <v>0</v>
      </c>
      <c r="R91" s="48">
        <f t="shared" si="16"/>
        <v>0</v>
      </c>
      <c r="S91" s="49">
        <v>0</v>
      </c>
      <c r="T91" s="48">
        <f t="shared" si="17"/>
        <v>0</v>
      </c>
      <c r="U91" s="50">
        <f t="shared" si="18"/>
        <v>0</v>
      </c>
      <c r="V91" s="51">
        <f t="shared" si="19"/>
        <v>0</v>
      </c>
      <c r="W91" s="52" t="str">
        <f t="shared" si="20"/>
        <v>0.0</v>
      </c>
      <c r="X91" s="53" t="str">
        <f t="shared" si="21"/>
        <v>F9</v>
      </c>
      <c r="Z91" s="71"/>
      <c r="AA91" s="71"/>
      <c r="AB91" s="71"/>
      <c r="AC91" s="71"/>
      <c r="AD91" s="71"/>
    </row>
    <row r="92" spans="1:30" ht="15.75" customHeight="1" x14ac:dyDescent="0.25">
      <c r="A92" s="41">
        <v>83</v>
      </c>
      <c r="B92" s="80"/>
      <c r="C92" s="84"/>
      <c r="D92" s="81"/>
      <c r="E92" s="44">
        <v>0</v>
      </c>
      <c r="F92" s="44">
        <v>0</v>
      </c>
      <c r="G92" s="45">
        <f t="shared" si="11"/>
        <v>0</v>
      </c>
      <c r="H92" s="44">
        <v>0</v>
      </c>
      <c r="I92" s="44">
        <v>0</v>
      </c>
      <c r="J92" s="45">
        <f t="shared" si="12"/>
        <v>0</v>
      </c>
      <c r="K92" s="44">
        <v>0</v>
      </c>
      <c r="L92" s="44">
        <v>0</v>
      </c>
      <c r="M92" s="45">
        <f t="shared" si="13"/>
        <v>0</v>
      </c>
      <c r="N92" s="44">
        <v>0</v>
      </c>
      <c r="O92" s="44">
        <v>0</v>
      </c>
      <c r="P92" s="46">
        <f t="shared" si="14"/>
        <v>0</v>
      </c>
      <c r="Q92" s="47">
        <f t="shared" si="15"/>
        <v>0</v>
      </c>
      <c r="R92" s="48">
        <f t="shared" si="16"/>
        <v>0</v>
      </c>
      <c r="S92" s="49">
        <v>0</v>
      </c>
      <c r="T92" s="48">
        <f t="shared" si="17"/>
        <v>0</v>
      </c>
      <c r="U92" s="50">
        <f t="shared" si="18"/>
        <v>0</v>
      </c>
      <c r="V92" s="51">
        <f t="shared" si="19"/>
        <v>0</v>
      </c>
      <c r="W92" s="52" t="str">
        <f t="shared" si="20"/>
        <v>0.0</v>
      </c>
      <c r="X92" s="53" t="str">
        <f t="shared" si="21"/>
        <v>F9</v>
      </c>
      <c r="Z92" s="71"/>
      <c r="AA92" s="71"/>
      <c r="AB92" s="71"/>
      <c r="AC92" s="71"/>
      <c r="AD92" s="71"/>
    </row>
    <row r="93" spans="1:30" ht="15.75" customHeight="1" x14ac:dyDescent="0.25">
      <c r="A93" s="41">
        <v>84</v>
      </c>
      <c r="B93" s="80"/>
      <c r="C93" s="84"/>
      <c r="D93" s="81"/>
      <c r="E93" s="44">
        <v>0</v>
      </c>
      <c r="F93" s="44">
        <v>0</v>
      </c>
      <c r="G93" s="45">
        <f t="shared" si="11"/>
        <v>0</v>
      </c>
      <c r="H93" s="44">
        <v>0</v>
      </c>
      <c r="I93" s="44">
        <v>0</v>
      </c>
      <c r="J93" s="45">
        <f t="shared" si="12"/>
        <v>0</v>
      </c>
      <c r="K93" s="44">
        <v>0</v>
      </c>
      <c r="L93" s="44">
        <v>0</v>
      </c>
      <c r="M93" s="45">
        <f t="shared" si="13"/>
        <v>0</v>
      </c>
      <c r="N93" s="44">
        <v>0</v>
      </c>
      <c r="O93" s="44">
        <v>0</v>
      </c>
      <c r="P93" s="46">
        <f t="shared" si="14"/>
        <v>0</v>
      </c>
      <c r="Q93" s="47">
        <f t="shared" si="15"/>
        <v>0</v>
      </c>
      <c r="R93" s="48">
        <f t="shared" si="16"/>
        <v>0</v>
      </c>
      <c r="S93" s="49">
        <v>0</v>
      </c>
      <c r="T93" s="48">
        <f t="shared" si="17"/>
        <v>0</v>
      </c>
      <c r="U93" s="50">
        <f t="shared" si="18"/>
        <v>0</v>
      </c>
      <c r="V93" s="51">
        <f t="shared" si="19"/>
        <v>0</v>
      </c>
      <c r="W93" s="52" t="str">
        <f t="shared" si="20"/>
        <v>0.0</v>
      </c>
      <c r="X93" s="53" t="str">
        <f t="shared" si="21"/>
        <v>F9</v>
      </c>
      <c r="Z93" s="71"/>
      <c r="AA93" s="71"/>
      <c r="AB93" s="71"/>
      <c r="AC93" s="71"/>
      <c r="AD93" s="71"/>
    </row>
    <row r="94" spans="1:30" ht="15.75" customHeight="1" x14ac:dyDescent="0.25">
      <c r="A94" s="41">
        <v>85</v>
      </c>
      <c r="B94" s="80"/>
      <c r="C94" s="84"/>
      <c r="D94" s="81"/>
      <c r="E94" s="44">
        <v>0</v>
      </c>
      <c r="F94" s="44">
        <v>0</v>
      </c>
      <c r="G94" s="45">
        <f t="shared" si="11"/>
        <v>0</v>
      </c>
      <c r="H94" s="44">
        <v>0</v>
      </c>
      <c r="I94" s="44">
        <v>0</v>
      </c>
      <c r="J94" s="45">
        <f t="shared" si="12"/>
        <v>0</v>
      </c>
      <c r="K94" s="44">
        <v>0</v>
      </c>
      <c r="L94" s="44">
        <v>0</v>
      </c>
      <c r="M94" s="45">
        <f t="shared" si="13"/>
        <v>0</v>
      </c>
      <c r="N94" s="44">
        <v>0</v>
      </c>
      <c r="O94" s="44">
        <v>0</v>
      </c>
      <c r="P94" s="46">
        <f t="shared" si="14"/>
        <v>0</v>
      </c>
      <c r="Q94" s="47">
        <f t="shared" si="15"/>
        <v>0</v>
      </c>
      <c r="R94" s="48">
        <f t="shared" si="16"/>
        <v>0</v>
      </c>
      <c r="S94" s="49">
        <v>0</v>
      </c>
      <c r="T94" s="48">
        <f t="shared" si="17"/>
        <v>0</v>
      </c>
      <c r="U94" s="50">
        <f t="shared" si="18"/>
        <v>0</v>
      </c>
      <c r="V94" s="51">
        <f t="shared" si="19"/>
        <v>0</v>
      </c>
      <c r="W94" s="52" t="str">
        <f t="shared" si="20"/>
        <v>0.0</v>
      </c>
      <c r="X94" s="53" t="str">
        <f t="shared" si="21"/>
        <v>F9</v>
      </c>
      <c r="Z94" s="71"/>
      <c r="AA94" s="71"/>
      <c r="AB94" s="71"/>
      <c r="AC94" s="71"/>
      <c r="AD94" s="71"/>
    </row>
    <row r="95" spans="1:30" ht="15.75" customHeight="1" x14ac:dyDescent="0.25">
      <c r="A95" s="41">
        <v>86</v>
      </c>
      <c r="B95" s="80"/>
      <c r="C95" s="85"/>
      <c r="D95" s="85"/>
      <c r="E95" s="44">
        <v>0</v>
      </c>
      <c r="F95" s="44">
        <v>0</v>
      </c>
      <c r="G95" s="45">
        <f t="shared" si="11"/>
        <v>0</v>
      </c>
      <c r="H95" s="44">
        <v>0</v>
      </c>
      <c r="I95" s="44">
        <v>0</v>
      </c>
      <c r="J95" s="45">
        <f t="shared" si="12"/>
        <v>0</v>
      </c>
      <c r="K95" s="44">
        <v>0</v>
      </c>
      <c r="L95" s="44">
        <v>0</v>
      </c>
      <c r="M95" s="45">
        <f t="shared" si="13"/>
        <v>0</v>
      </c>
      <c r="N95" s="44">
        <v>0</v>
      </c>
      <c r="O95" s="44">
        <v>0</v>
      </c>
      <c r="P95" s="46">
        <f t="shared" si="14"/>
        <v>0</v>
      </c>
      <c r="Q95" s="47">
        <f t="shared" si="15"/>
        <v>0</v>
      </c>
      <c r="R95" s="48">
        <f t="shared" si="16"/>
        <v>0</v>
      </c>
      <c r="S95" s="49">
        <v>0</v>
      </c>
      <c r="T95" s="48">
        <f t="shared" si="17"/>
        <v>0</v>
      </c>
      <c r="U95" s="50">
        <f t="shared" si="18"/>
        <v>0</v>
      </c>
      <c r="V95" s="51">
        <f t="shared" si="19"/>
        <v>0</v>
      </c>
      <c r="W95" s="52" t="str">
        <f t="shared" si="20"/>
        <v>0.0</v>
      </c>
      <c r="X95" s="53" t="str">
        <f t="shared" si="21"/>
        <v>F9</v>
      </c>
      <c r="Z95" s="71"/>
      <c r="AA95" s="71"/>
      <c r="AB95" s="71"/>
      <c r="AC95" s="71"/>
      <c r="AD95" s="71"/>
    </row>
    <row r="96" spans="1:30" ht="15.75" customHeight="1" x14ac:dyDescent="0.25">
      <c r="A96" s="41">
        <v>87</v>
      </c>
      <c r="B96" s="80"/>
      <c r="C96" s="85"/>
      <c r="D96" s="85"/>
      <c r="E96" s="44">
        <v>0</v>
      </c>
      <c r="F96" s="44">
        <v>0</v>
      </c>
      <c r="G96" s="45">
        <f t="shared" si="11"/>
        <v>0</v>
      </c>
      <c r="H96" s="44">
        <v>0</v>
      </c>
      <c r="I96" s="44">
        <v>0</v>
      </c>
      <c r="J96" s="45">
        <f t="shared" si="12"/>
        <v>0</v>
      </c>
      <c r="K96" s="44">
        <v>0</v>
      </c>
      <c r="L96" s="44">
        <v>0</v>
      </c>
      <c r="M96" s="45">
        <f t="shared" si="13"/>
        <v>0</v>
      </c>
      <c r="N96" s="44">
        <v>0</v>
      </c>
      <c r="O96" s="44">
        <v>0</v>
      </c>
      <c r="P96" s="46">
        <f t="shared" si="14"/>
        <v>0</v>
      </c>
      <c r="Q96" s="47">
        <f t="shared" si="15"/>
        <v>0</v>
      </c>
      <c r="R96" s="48">
        <f t="shared" si="16"/>
        <v>0</v>
      </c>
      <c r="S96" s="49">
        <v>0</v>
      </c>
      <c r="T96" s="48">
        <f t="shared" si="17"/>
        <v>0</v>
      </c>
      <c r="U96" s="50">
        <f t="shared" si="18"/>
        <v>0</v>
      </c>
      <c r="V96" s="51">
        <f t="shared" si="19"/>
        <v>0</v>
      </c>
      <c r="W96" s="52" t="str">
        <f t="shared" si="20"/>
        <v>0.0</v>
      </c>
      <c r="X96" s="53" t="str">
        <f t="shared" si="21"/>
        <v>F9</v>
      </c>
      <c r="Z96" s="71"/>
      <c r="AA96" s="71"/>
      <c r="AB96" s="71"/>
      <c r="AC96" s="71"/>
      <c r="AD96" s="71"/>
    </row>
    <row r="97" spans="1:30" ht="15.75" customHeight="1" x14ac:dyDescent="0.25">
      <c r="A97" s="41">
        <v>88</v>
      </c>
      <c r="B97" s="80"/>
      <c r="C97" s="85"/>
      <c r="D97" s="85"/>
      <c r="E97" s="44">
        <v>0</v>
      </c>
      <c r="F97" s="44">
        <v>0</v>
      </c>
      <c r="G97" s="45">
        <f t="shared" si="11"/>
        <v>0</v>
      </c>
      <c r="H97" s="44">
        <v>0</v>
      </c>
      <c r="I97" s="44">
        <v>0</v>
      </c>
      <c r="J97" s="45">
        <f t="shared" si="12"/>
        <v>0</v>
      </c>
      <c r="K97" s="44">
        <v>0</v>
      </c>
      <c r="L97" s="44">
        <v>0</v>
      </c>
      <c r="M97" s="45">
        <f t="shared" si="13"/>
        <v>0</v>
      </c>
      <c r="N97" s="44">
        <v>0</v>
      </c>
      <c r="O97" s="44">
        <v>0</v>
      </c>
      <c r="P97" s="46">
        <f t="shared" si="14"/>
        <v>0</v>
      </c>
      <c r="Q97" s="47">
        <f t="shared" si="15"/>
        <v>0</v>
      </c>
      <c r="R97" s="48">
        <f t="shared" si="16"/>
        <v>0</v>
      </c>
      <c r="S97" s="49">
        <v>0</v>
      </c>
      <c r="T97" s="48">
        <f t="shared" si="17"/>
        <v>0</v>
      </c>
      <c r="U97" s="50">
        <f t="shared" si="18"/>
        <v>0</v>
      </c>
      <c r="V97" s="51">
        <f t="shared" si="19"/>
        <v>0</v>
      </c>
      <c r="W97" s="52" t="str">
        <f t="shared" si="20"/>
        <v>0.0</v>
      </c>
      <c r="X97" s="53" t="str">
        <f t="shared" si="21"/>
        <v>F9</v>
      </c>
      <c r="Z97" s="71"/>
      <c r="AA97" s="71"/>
      <c r="AB97" s="71"/>
      <c r="AC97" s="71"/>
      <c r="AD97" s="71"/>
    </row>
    <row r="98" spans="1:30" ht="15.75" customHeight="1" x14ac:dyDescent="0.25">
      <c r="A98" s="41">
        <v>89</v>
      </c>
      <c r="B98" s="80"/>
      <c r="C98" s="85"/>
      <c r="D98" s="85"/>
      <c r="E98" s="44">
        <v>0</v>
      </c>
      <c r="F98" s="44">
        <v>0</v>
      </c>
      <c r="G98" s="45">
        <f t="shared" si="11"/>
        <v>0</v>
      </c>
      <c r="H98" s="44">
        <v>0</v>
      </c>
      <c r="I98" s="44">
        <v>0</v>
      </c>
      <c r="J98" s="45">
        <f t="shared" si="12"/>
        <v>0</v>
      </c>
      <c r="K98" s="44">
        <v>0</v>
      </c>
      <c r="L98" s="44">
        <v>0</v>
      </c>
      <c r="M98" s="45">
        <f t="shared" si="13"/>
        <v>0</v>
      </c>
      <c r="N98" s="44">
        <v>0</v>
      </c>
      <c r="O98" s="44">
        <v>0</v>
      </c>
      <c r="P98" s="46">
        <f t="shared" si="14"/>
        <v>0</v>
      </c>
      <c r="Q98" s="47">
        <f t="shared" si="15"/>
        <v>0</v>
      </c>
      <c r="R98" s="48">
        <f t="shared" si="16"/>
        <v>0</v>
      </c>
      <c r="S98" s="49">
        <v>0</v>
      </c>
      <c r="T98" s="48">
        <f t="shared" si="17"/>
        <v>0</v>
      </c>
      <c r="U98" s="50">
        <f t="shared" si="18"/>
        <v>0</v>
      </c>
      <c r="V98" s="51">
        <f t="shared" si="19"/>
        <v>0</v>
      </c>
      <c r="W98" s="52" t="str">
        <f t="shared" si="20"/>
        <v>0.0</v>
      </c>
      <c r="X98" s="53" t="str">
        <f t="shared" si="21"/>
        <v>F9</v>
      </c>
      <c r="Z98" s="71"/>
      <c r="AA98" s="71"/>
      <c r="AB98" s="71"/>
      <c r="AC98" s="71"/>
      <c r="AD98" s="71"/>
    </row>
    <row r="99" spans="1:30" ht="15.75" customHeight="1" x14ac:dyDescent="0.25">
      <c r="A99" s="41">
        <v>90</v>
      </c>
      <c r="B99" s="80"/>
      <c r="C99" s="85"/>
      <c r="D99" s="85"/>
      <c r="E99" s="44">
        <v>0</v>
      </c>
      <c r="F99" s="44">
        <v>0</v>
      </c>
      <c r="G99" s="45">
        <f t="shared" si="11"/>
        <v>0</v>
      </c>
      <c r="H99" s="44">
        <v>0</v>
      </c>
      <c r="I99" s="44">
        <v>0</v>
      </c>
      <c r="J99" s="45">
        <f t="shared" si="12"/>
        <v>0</v>
      </c>
      <c r="K99" s="44">
        <v>0</v>
      </c>
      <c r="L99" s="44">
        <v>0</v>
      </c>
      <c r="M99" s="45">
        <f t="shared" si="13"/>
        <v>0</v>
      </c>
      <c r="N99" s="44">
        <v>0</v>
      </c>
      <c r="O99" s="44">
        <v>0</v>
      </c>
      <c r="P99" s="46">
        <f t="shared" si="14"/>
        <v>0</v>
      </c>
      <c r="Q99" s="47">
        <f t="shared" si="15"/>
        <v>0</v>
      </c>
      <c r="R99" s="48">
        <f t="shared" si="16"/>
        <v>0</v>
      </c>
      <c r="S99" s="49">
        <v>0</v>
      </c>
      <c r="T99" s="48">
        <f t="shared" si="17"/>
        <v>0</v>
      </c>
      <c r="U99" s="50">
        <f t="shared" si="18"/>
        <v>0</v>
      </c>
      <c r="V99" s="51">
        <f t="shared" si="19"/>
        <v>0</v>
      </c>
      <c r="W99" s="52" t="str">
        <f t="shared" si="20"/>
        <v>0.0</v>
      </c>
      <c r="X99" s="53" t="str">
        <f t="shared" si="21"/>
        <v>F9</v>
      </c>
      <c r="Z99" s="71"/>
      <c r="AA99" s="71"/>
      <c r="AB99" s="71"/>
      <c r="AC99" s="71"/>
      <c r="AD99" s="71"/>
    </row>
    <row r="100" spans="1:30" ht="15.75" customHeight="1" x14ac:dyDescent="0.25">
      <c r="A100" s="41">
        <v>91</v>
      </c>
      <c r="B100" s="80"/>
      <c r="C100" s="85"/>
      <c r="D100" s="85"/>
      <c r="E100" s="44">
        <v>0</v>
      </c>
      <c r="F100" s="44">
        <v>0</v>
      </c>
      <c r="G100" s="45">
        <f t="shared" si="11"/>
        <v>0</v>
      </c>
      <c r="H100" s="44">
        <v>0</v>
      </c>
      <c r="I100" s="44">
        <v>0</v>
      </c>
      <c r="J100" s="45">
        <f t="shared" si="12"/>
        <v>0</v>
      </c>
      <c r="K100" s="44">
        <v>0</v>
      </c>
      <c r="L100" s="44">
        <v>0</v>
      </c>
      <c r="M100" s="45">
        <f t="shared" si="13"/>
        <v>0</v>
      </c>
      <c r="N100" s="44">
        <v>0</v>
      </c>
      <c r="O100" s="44">
        <v>0</v>
      </c>
      <c r="P100" s="46">
        <f t="shared" si="14"/>
        <v>0</v>
      </c>
      <c r="Q100" s="47">
        <f t="shared" si="15"/>
        <v>0</v>
      </c>
      <c r="R100" s="48">
        <f t="shared" si="16"/>
        <v>0</v>
      </c>
      <c r="S100" s="49">
        <v>0</v>
      </c>
      <c r="T100" s="48">
        <f t="shared" si="17"/>
        <v>0</v>
      </c>
      <c r="U100" s="50">
        <f t="shared" si="18"/>
        <v>0</v>
      </c>
      <c r="V100" s="51">
        <f t="shared" si="19"/>
        <v>0</v>
      </c>
      <c r="W100" s="52" t="str">
        <f t="shared" si="20"/>
        <v>0.0</v>
      </c>
      <c r="X100" s="53" t="str">
        <f t="shared" si="21"/>
        <v>F9</v>
      </c>
      <c r="Z100" s="71"/>
      <c r="AA100" s="71"/>
      <c r="AB100" s="71"/>
      <c r="AC100" s="71"/>
      <c r="AD100" s="71"/>
    </row>
    <row r="101" spans="1:30" ht="15.75" customHeight="1" x14ac:dyDescent="0.25">
      <c r="A101" s="41">
        <v>92</v>
      </c>
      <c r="B101" s="80"/>
      <c r="C101" s="85"/>
      <c r="D101" s="85"/>
      <c r="E101" s="44">
        <v>0</v>
      </c>
      <c r="F101" s="44">
        <v>0</v>
      </c>
      <c r="G101" s="45">
        <f t="shared" si="11"/>
        <v>0</v>
      </c>
      <c r="H101" s="44">
        <v>0</v>
      </c>
      <c r="I101" s="44">
        <v>0</v>
      </c>
      <c r="J101" s="45">
        <f t="shared" si="12"/>
        <v>0</v>
      </c>
      <c r="K101" s="44">
        <v>0</v>
      </c>
      <c r="L101" s="44">
        <v>0</v>
      </c>
      <c r="M101" s="45">
        <f t="shared" si="13"/>
        <v>0</v>
      </c>
      <c r="N101" s="44">
        <v>0</v>
      </c>
      <c r="O101" s="44">
        <v>0</v>
      </c>
      <c r="P101" s="46">
        <f t="shared" si="14"/>
        <v>0</v>
      </c>
      <c r="Q101" s="47">
        <f t="shared" si="15"/>
        <v>0</v>
      </c>
      <c r="R101" s="48">
        <f t="shared" si="16"/>
        <v>0</v>
      </c>
      <c r="S101" s="49">
        <v>0</v>
      </c>
      <c r="T101" s="48">
        <f t="shared" si="17"/>
        <v>0</v>
      </c>
      <c r="U101" s="50">
        <f t="shared" si="18"/>
        <v>0</v>
      </c>
      <c r="V101" s="51">
        <f t="shared" si="19"/>
        <v>0</v>
      </c>
      <c r="W101" s="52" t="str">
        <f t="shared" si="20"/>
        <v>0.0</v>
      </c>
      <c r="X101" s="53" t="str">
        <f t="shared" si="21"/>
        <v>F9</v>
      </c>
      <c r="Z101" s="71"/>
      <c r="AA101" s="71"/>
      <c r="AB101" s="71"/>
      <c r="AC101" s="71"/>
      <c r="AD101" s="71"/>
    </row>
    <row r="102" spans="1:30" ht="15.75" customHeight="1" x14ac:dyDescent="0.25">
      <c r="A102" s="41">
        <v>93</v>
      </c>
      <c r="B102" s="80"/>
      <c r="C102" s="85"/>
      <c r="D102" s="85"/>
      <c r="E102" s="44">
        <v>0</v>
      </c>
      <c r="F102" s="44">
        <v>0</v>
      </c>
      <c r="G102" s="45">
        <f t="shared" si="11"/>
        <v>0</v>
      </c>
      <c r="H102" s="44">
        <v>0</v>
      </c>
      <c r="I102" s="44">
        <v>0</v>
      </c>
      <c r="J102" s="45">
        <f t="shared" si="12"/>
        <v>0</v>
      </c>
      <c r="K102" s="44">
        <v>0</v>
      </c>
      <c r="L102" s="44">
        <v>0</v>
      </c>
      <c r="M102" s="45">
        <f t="shared" si="13"/>
        <v>0</v>
      </c>
      <c r="N102" s="44">
        <v>0</v>
      </c>
      <c r="O102" s="44">
        <v>0</v>
      </c>
      <c r="P102" s="46">
        <f t="shared" si="14"/>
        <v>0</v>
      </c>
      <c r="Q102" s="47">
        <f t="shared" si="15"/>
        <v>0</v>
      </c>
      <c r="R102" s="48">
        <f t="shared" si="16"/>
        <v>0</v>
      </c>
      <c r="S102" s="49">
        <v>0</v>
      </c>
      <c r="T102" s="48">
        <f t="shared" si="17"/>
        <v>0</v>
      </c>
      <c r="U102" s="50">
        <f t="shared" si="18"/>
        <v>0</v>
      </c>
      <c r="V102" s="51">
        <f t="shared" si="19"/>
        <v>0</v>
      </c>
      <c r="W102" s="52" t="str">
        <f t="shared" si="20"/>
        <v>0.0</v>
      </c>
      <c r="X102" s="53" t="str">
        <f t="shared" si="21"/>
        <v>F9</v>
      </c>
      <c r="Z102" s="71"/>
      <c r="AA102" s="71"/>
      <c r="AB102" s="71"/>
      <c r="AC102" s="71"/>
      <c r="AD102" s="71"/>
    </row>
    <row r="103" spans="1:30" ht="15.75" customHeight="1" x14ac:dyDescent="0.25">
      <c r="A103" s="41">
        <v>94</v>
      </c>
      <c r="B103" s="80"/>
      <c r="C103" s="85"/>
      <c r="D103" s="85"/>
      <c r="E103" s="44">
        <v>0</v>
      </c>
      <c r="F103" s="44">
        <v>0</v>
      </c>
      <c r="G103" s="45">
        <f t="shared" si="11"/>
        <v>0</v>
      </c>
      <c r="H103" s="44">
        <v>0</v>
      </c>
      <c r="I103" s="44">
        <v>0</v>
      </c>
      <c r="J103" s="45">
        <f t="shared" si="12"/>
        <v>0</v>
      </c>
      <c r="K103" s="44">
        <v>0</v>
      </c>
      <c r="L103" s="44">
        <v>0</v>
      </c>
      <c r="M103" s="45">
        <f t="shared" si="13"/>
        <v>0</v>
      </c>
      <c r="N103" s="44">
        <v>0</v>
      </c>
      <c r="O103" s="44">
        <v>0</v>
      </c>
      <c r="P103" s="46">
        <f t="shared" si="14"/>
        <v>0</v>
      </c>
      <c r="Q103" s="47">
        <f t="shared" si="15"/>
        <v>0</v>
      </c>
      <c r="R103" s="48">
        <f t="shared" si="16"/>
        <v>0</v>
      </c>
      <c r="S103" s="49">
        <v>0</v>
      </c>
      <c r="T103" s="48">
        <f t="shared" si="17"/>
        <v>0</v>
      </c>
      <c r="U103" s="50">
        <f t="shared" si="18"/>
        <v>0</v>
      </c>
      <c r="V103" s="51">
        <f t="shared" si="19"/>
        <v>0</v>
      </c>
      <c r="W103" s="52" t="str">
        <f t="shared" si="20"/>
        <v>0.0</v>
      </c>
      <c r="X103" s="53" t="str">
        <f t="shared" si="21"/>
        <v>F9</v>
      </c>
      <c r="Z103" s="71"/>
      <c r="AA103" s="71"/>
      <c r="AB103" s="71"/>
      <c r="AC103" s="71"/>
      <c r="AD103" s="71"/>
    </row>
    <row r="104" spans="1:30" ht="15.75" customHeight="1" x14ac:dyDescent="0.25">
      <c r="A104" s="41">
        <v>95</v>
      </c>
      <c r="B104" s="80"/>
      <c r="C104" s="85"/>
      <c r="D104" s="85"/>
      <c r="E104" s="44">
        <v>0</v>
      </c>
      <c r="F104" s="44">
        <v>0</v>
      </c>
      <c r="G104" s="45">
        <f t="shared" si="11"/>
        <v>0</v>
      </c>
      <c r="H104" s="44">
        <v>0</v>
      </c>
      <c r="I104" s="44">
        <v>0</v>
      </c>
      <c r="J104" s="45">
        <f t="shared" si="12"/>
        <v>0</v>
      </c>
      <c r="K104" s="44">
        <v>0</v>
      </c>
      <c r="L104" s="44">
        <v>0</v>
      </c>
      <c r="M104" s="45">
        <f t="shared" si="13"/>
        <v>0</v>
      </c>
      <c r="N104" s="44">
        <v>0</v>
      </c>
      <c r="O104" s="44">
        <v>0</v>
      </c>
      <c r="P104" s="46">
        <f t="shared" si="14"/>
        <v>0</v>
      </c>
      <c r="Q104" s="47">
        <f t="shared" si="15"/>
        <v>0</v>
      </c>
      <c r="R104" s="48">
        <f t="shared" si="16"/>
        <v>0</v>
      </c>
      <c r="S104" s="49">
        <v>0</v>
      </c>
      <c r="T104" s="48">
        <f t="shared" si="17"/>
        <v>0</v>
      </c>
      <c r="U104" s="50">
        <f t="shared" si="18"/>
        <v>0</v>
      </c>
      <c r="V104" s="51">
        <f t="shared" si="19"/>
        <v>0</v>
      </c>
      <c r="W104" s="52" t="str">
        <f t="shared" si="20"/>
        <v>0.0</v>
      </c>
      <c r="X104" s="53" t="str">
        <f t="shared" si="21"/>
        <v>F9</v>
      </c>
      <c r="Z104" s="71"/>
      <c r="AA104" s="71"/>
      <c r="AB104" s="71"/>
      <c r="AC104" s="71"/>
      <c r="AD104" s="71"/>
    </row>
    <row r="105" spans="1:30" ht="15.75" customHeight="1" x14ac:dyDescent="0.25">
      <c r="A105" s="41">
        <v>96</v>
      </c>
      <c r="B105" s="80"/>
      <c r="C105" s="85"/>
      <c r="D105" s="85"/>
      <c r="E105" s="44">
        <v>0</v>
      </c>
      <c r="F105" s="44">
        <v>0</v>
      </c>
      <c r="G105" s="45">
        <f t="shared" si="11"/>
        <v>0</v>
      </c>
      <c r="H105" s="44">
        <v>0</v>
      </c>
      <c r="I105" s="44">
        <v>0</v>
      </c>
      <c r="J105" s="45">
        <f t="shared" si="12"/>
        <v>0</v>
      </c>
      <c r="K105" s="44">
        <v>0</v>
      </c>
      <c r="L105" s="44">
        <v>0</v>
      </c>
      <c r="M105" s="45">
        <f t="shared" si="13"/>
        <v>0</v>
      </c>
      <c r="N105" s="44">
        <v>0</v>
      </c>
      <c r="O105" s="44">
        <v>0</v>
      </c>
      <c r="P105" s="46">
        <f t="shared" si="14"/>
        <v>0</v>
      </c>
      <c r="Q105" s="47">
        <f t="shared" si="15"/>
        <v>0</v>
      </c>
      <c r="R105" s="48">
        <f t="shared" si="16"/>
        <v>0</v>
      </c>
      <c r="S105" s="49">
        <v>0</v>
      </c>
      <c r="T105" s="48">
        <f t="shared" si="17"/>
        <v>0</v>
      </c>
      <c r="U105" s="50">
        <f t="shared" si="18"/>
        <v>0</v>
      </c>
      <c r="V105" s="51">
        <f t="shared" si="19"/>
        <v>0</v>
      </c>
      <c r="W105" s="52" t="str">
        <f t="shared" si="20"/>
        <v>0.0</v>
      </c>
      <c r="X105" s="53" t="str">
        <f t="shared" si="21"/>
        <v>F9</v>
      </c>
      <c r="Z105" s="71"/>
      <c r="AA105" s="71"/>
      <c r="AB105" s="71"/>
      <c r="AC105" s="71"/>
      <c r="AD105" s="71"/>
    </row>
    <row r="106" spans="1:30" ht="15.75" customHeight="1" x14ac:dyDescent="0.25">
      <c r="A106" s="41">
        <v>97</v>
      </c>
      <c r="B106" s="80"/>
      <c r="C106" s="85"/>
      <c r="D106" s="85"/>
      <c r="E106" s="44">
        <v>0</v>
      </c>
      <c r="F106" s="44">
        <v>0</v>
      </c>
      <c r="G106" s="45">
        <f t="shared" si="11"/>
        <v>0</v>
      </c>
      <c r="H106" s="44">
        <v>0</v>
      </c>
      <c r="I106" s="44">
        <v>0</v>
      </c>
      <c r="J106" s="45">
        <f t="shared" si="12"/>
        <v>0</v>
      </c>
      <c r="K106" s="44">
        <v>0</v>
      </c>
      <c r="L106" s="44">
        <v>0</v>
      </c>
      <c r="M106" s="45">
        <f t="shared" si="13"/>
        <v>0</v>
      </c>
      <c r="N106" s="44">
        <v>0</v>
      </c>
      <c r="O106" s="44">
        <v>0</v>
      </c>
      <c r="P106" s="46">
        <f t="shared" si="14"/>
        <v>0</v>
      </c>
      <c r="Q106" s="47">
        <f t="shared" si="15"/>
        <v>0</v>
      </c>
      <c r="R106" s="48">
        <f t="shared" si="16"/>
        <v>0</v>
      </c>
      <c r="S106" s="49">
        <v>0</v>
      </c>
      <c r="T106" s="48">
        <f t="shared" si="17"/>
        <v>0</v>
      </c>
      <c r="U106" s="50">
        <f t="shared" si="18"/>
        <v>0</v>
      </c>
      <c r="V106" s="51">
        <f t="shared" si="19"/>
        <v>0</v>
      </c>
      <c r="W106" s="52" t="str">
        <f t="shared" si="20"/>
        <v>0.0</v>
      </c>
      <c r="X106" s="53" t="str">
        <f t="shared" si="21"/>
        <v>F9</v>
      </c>
      <c r="Z106" s="71"/>
      <c r="AA106" s="71"/>
      <c r="AB106" s="71"/>
      <c r="AC106" s="71"/>
      <c r="AD106" s="71"/>
    </row>
    <row r="107" spans="1:30" ht="15.75" customHeight="1" x14ac:dyDescent="0.25">
      <c r="A107" s="41">
        <v>98</v>
      </c>
      <c r="B107" s="80"/>
      <c r="C107" s="85"/>
      <c r="D107" s="85"/>
      <c r="E107" s="44">
        <v>0</v>
      </c>
      <c r="F107" s="44">
        <v>0</v>
      </c>
      <c r="G107" s="45">
        <f t="shared" si="11"/>
        <v>0</v>
      </c>
      <c r="H107" s="44">
        <v>0</v>
      </c>
      <c r="I107" s="44">
        <v>0</v>
      </c>
      <c r="J107" s="45">
        <f t="shared" si="12"/>
        <v>0</v>
      </c>
      <c r="K107" s="44">
        <v>0</v>
      </c>
      <c r="L107" s="44">
        <v>0</v>
      </c>
      <c r="M107" s="45">
        <f t="shared" si="13"/>
        <v>0</v>
      </c>
      <c r="N107" s="44">
        <v>0</v>
      </c>
      <c r="O107" s="44">
        <v>0</v>
      </c>
      <c r="P107" s="46">
        <f t="shared" si="14"/>
        <v>0</v>
      </c>
      <c r="Q107" s="47">
        <f t="shared" si="15"/>
        <v>0</v>
      </c>
      <c r="R107" s="48">
        <f t="shared" si="16"/>
        <v>0</v>
      </c>
      <c r="S107" s="49">
        <v>0</v>
      </c>
      <c r="T107" s="48">
        <f t="shared" si="17"/>
        <v>0</v>
      </c>
      <c r="U107" s="50">
        <f t="shared" si="18"/>
        <v>0</v>
      </c>
      <c r="V107" s="51">
        <f t="shared" si="19"/>
        <v>0</v>
      </c>
      <c r="W107" s="52" t="str">
        <f t="shared" si="20"/>
        <v>0.0</v>
      </c>
      <c r="X107" s="53" t="str">
        <f t="shared" si="21"/>
        <v>F9</v>
      </c>
      <c r="Z107" s="71"/>
      <c r="AA107" s="71"/>
      <c r="AB107" s="71"/>
      <c r="AC107" s="71"/>
      <c r="AD107" s="71"/>
    </row>
    <row r="108" spans="1:30" ht="15.75" customHeight="1" x14ac:dyDescent="0.25">
      <c r="A108" s="41">
        <v>99</v>
      </c>
      <c r="B108" s="80"/>
      <c r="C108" s="85"/>
      <c r="D108" s="85"/>
      <c r="E108" s="44">
        <v>0</v>
      </c>
      <c r="F108" s="44">
        <v>0</v>
      </c>
      <c r="G108" s="45">
        <f t="shared" si="11"/>
        <v>0</v>
      </c>
      <c r="H108" s="44">
        <v>0</v>
      </c>
      <c r="I108" s="44">
        <v>0</v>
      </c>
      <c r="J108" s="45">
        <f t="shared" si="12"/>
        <v>0</v>
      </c>
      <c r="K108" s="44">
        <v>0</v>
      </c>
      <c r="L108" s="44">
        <v>0</v>
      </c>
      <c r="M108" s="45">
        <f t="shared" si="13"/>
        <v>0</v>
      </c>
      <c r="N108" s="44">
        <v>0</v>
      </c>
      <c r="O108" s="44">
        <v>0</v>
      </c>
      <c r="P108" s="46">
        <f t="shared" si="14"/>
        <v>0</v>
      </c>
      <c r="Q108" s="47">
        <f t="shared" si="15"/>
        <v>0</v>
      </c>
      <c r="R108" s="48">
        <f t="shared" si="16"/>
        <v>0</v>
      </c>
      <c r="S108" s="49">
        <v>0</v>
      </c>
      <c r="T108" s="48">
        <f t="shared" si="17"/>
        <v>0</v>
      </c>
      <c r="U108" s="50">
        <f t="shared" si="18"/>
        <v>0</v>
      </c>
      <c r="V108" s="51">
        <f t="shared" si="19"/>
        <v>0</v>
      </c>
      <c r="W108" s="52" t="str">
        <f t="shared" si="20"/>
        <v>0.0</v>
      </c>
      <c r="X108" s="53" t="str">
        <f t="shared" si="21"/>
        <v>F9</v>
      </c>
      <c r="Z108" s="71"/>
      <c r="AA108" s="71"/>
      <c r="AB108" s="71"/>
      <c r="AC108" s="71"/>
      <c r="AD108" s="71"/>
    </row>
    <row r="109" spans="1:30" ht="15.75" customHeight="1" x14ac:dyDescent="0.25">
      <c r="A109" s="41">
        <v>100</v>
      </c>
      <c r="B109" s="80"/>
      <c r="C109" s="85"/>
      <c r="D109" s="85"/>
      <c r="E109" s="44">
        <v>0</v>
      </c>
      <c r="F109" s="44">
        <v>0</v>
      </c>
      <c r="G109" s="45">
        <f t="shared" si="11"/>
        <v>0</v>
      </c>
      <c r="H109" s="44">
        <v>0</v>
      </c>
      <c r="I109" s="44">
        <v>0</v>
      </c>
      <c r="J109" s="45">
        <f t="shared" si="12"/>
        <v>0</v>
      </c>
      <c r="K109" s="44">
        <v>0</v>
      </c>
      <c r="L109" s="44">
        <v>0</v>
      </c>
      <c r="M109" s="45">
        <f t="shared" si="13"/>
        <v>0</v>
      </c>
      <c r="N109" s="44">
        <v>0</v>
      </c>
      <c r="O109" s="44">
        <v>0</v>
      </c>
      <c r="P109" s="46">
        <f t="shared" si="14"/>
        <v>0</v>
      </c>
      <c r="Q109" s="47">
        <f t="shared" si="15"/>
        <v>0</v>
      </c>
      <c r="R109" s="48">
        <f t="shared" si="16"/>
        <v>0</v>
      </c>
      <c r="S109" s="49">
        <v>0</v>
      </c>
      <c r="T109" s="48">
        <f t="shared" si="17"/>
        <v>0</v>
      </c>
      <c r="U109" s="50">
        <f t="shared" si="18"/>
        <v>0</v>
      </c>
      <c r="V109" s="51">
        <f t="shared" si="19"/>
        <v>0</v>
      </c>
      <c r="W109" s="52" t="str">
        <f t="shared" si="20"/>
        <v>0.0</v>
      </c>
      <c r="X109" s="53" t="str">
        <f t="shared" si="21"/>
        <v>F9</v>
      </c>
      <c r="Z109" s="71"/>
      <c r="AA109" s="71"/>
      <c r="AB109" s="71"/>
      <c r="AC109" s="71"/>
      <c r="AD109" s="71"/>
    </row>
    <row r="110" spans="1:30" ht="15.75" customHeight="1" x14ac:dyDescent="0.25">
      <c r="A110" s="41">
        <v>101</v>
      </c>
      <c r="B110" s="80"/>
      <c r="C110" s="85"/>
      <c r="D110" s="85"/>
      <c r="E110" s="44">
        <v>0</v>
      </c>
      <c r="F110" s="44">
        <v>0</v>
      </c>
      <c r="G110" s="45">
        <f t="shared" si="11"/>
        <v>0</v>
      </c>
      <c r="H110" s="44">
        <v>0</v>
      </c>
      <c r="I110" s="44">
        <v>0</v>
      </c>
      <c r="J110" s="45">
        <f t="shared" si="12"/>
        <v>0</v>
      </c>
      <c r="K110" s="44">
        <v>0</v>
      </c>
      <c r="L110" s="44">
        <v>0</v>
      </c>
      <c r="M110" s="45">
        <f t="shared" si="13"/>
        <v>0</v>
      </c>
      <c r="N110" s="44">
        <v>0</v>
      </c>
      <c r="O110" s="44">
        <v>0</v>
      </c>
      <c r="P110" s="46">
        <f t="shared" si="14"/>
        <v>0</v>
      </c>
      <c r="Q110" s="47">
        <f t="shared" si="15"/>
        <v>0</v>
      </c>
      <c r="R110" s="48">
        <f t="shared" si="16"/>
        <v>0</v>
      </c>
      <c r="S110" s="49">
        <v>0</v>
      </c>
      <c r="T110" s="48">
        <f t="shared" si="17"/>
        <v>0</v>
      </c>
      <c r="U110" s="50">
        <f t="shared" si="18"/>
        <v>0</v>
      </c>
      <c r="V110" s="51">
        <f t="shared" si="19"/>
        <v>0</v>
      </c>
      <c r="W110" s="52" t="str">
        <f t="shared" si="20"/>
        <v>0.0</v>
      </c>
      <c r="X110" s="53" t="str">
        <f t="shared" si="21"/>
        <v>F9</v>
      </c>
      <c r="Z110" s="71"/>
      <c r="AA110" s="71"/>
      <c r="AB110" s="71"/>
      <c r="AC110" s="71"/>
      <c r="AD110" s="71"/>
    </row>
    <row r="111" spans="1:30" ht="15.75" customHeight="1" x14ac:dyDescent="0.25">
      <c r="A111" s="41">
        <v>102</v>
      </c>
      <c r="B111" s="80"/>
      <c r="C111" s="85"/>
      <c r="D111" s="85"/>
      <c r="E111" s="44">
        <v>0</v>
      </c>
      <c r="F111" s="44">
        <v>0</v>
      </c>
      <c r="G111" s="45">
        <f t="shared" si="11"/>
        <v>0</v>
      </c>
      <c r="H111" s="44">
        <v>0</v>
      </c>
      <c r="I111" s="44">
        <v>0</v>
      </c>
      <c r="J111" s="45">
        <f t="shared" si="12"/>
        <v>0</v>
      </c>
      <c r="K111" s="44">
        <v>0</v>
      </c>
      <c r="L111" s="44">
        <v>0</v>
      </c>
      <c r="M111" s="45">
        <f t="shared" si="13"/>
        <v>0</v>
      </c>
      <c r="N111" s="44">
        <v>0</v>
      </c>
      <c r="O111" s="44">
        <v>0</v>
      </c>
      <c r="P111" s="46">
        <f t="shared" si="14"/>
        <v>0</v>
      </c>
      <c r="Q111" s="47">
        <f t="shared" si="15"/>
        <v>0</v>
      </c>
      <c r="R111" s="48">
        <f t="shared" si="16"/>
        <v>0</v>
      </c>
      <c r="S111" s="49">
        <v>0</v>
      </c>
      <c r="T111" s="48">
        <f t="shared" si="17"/>
        <v>0</v>
      </c>
      <c r="U111" s="50">
        <f t="shared" si="18"/>
        <v>0</v>
      </c>
      <c r="V111" s="51">
        <f t="shared" si="19"/>
        <v>0</v>
      </c>
      <c r="W111" s="52" t="str">
        <f t="shared" si="20"/>
        <v>0.0</v>
      </c>
      <c r="X111" s="53" t="str">
        <f t="shared" si="21"/>
        <v>F9</v>
      </c>
      <c r="Z111" s="71"/>
      <c r="AA111" s="71"/>
      <c r="AB111" s="71"/>
      <c r="AC111" s="71"/>
      <c r="AD111" s="71"/>
    </row>
    <row r="112" spans="1:30" ht="15.75" customHeight="1" x14ac:dyDescent="0.25">
      <c r="A112" s="41">
        <v>103</v>
      </c>
      <c r="B112" s="80"/>
      <c r="C112" s="85"/>
      <c r="D112" s="85"/>
      <c r="E112" s="44">
        <v>0</v>
      </c>
      <c r="F112" s="44">
        <v>0</v>
      </c>
      <c r="G112" s="45">
        <f t="shared" si="11"/>
        <v>0</v>
      </c>
      <c r="H112" s="44">
        <v>0</v>
      </c>
      <c r="I112" s="44">
        <v>0</v>
      </c>
      <c r="J112" s="45">
        <f t="shared" si="12"/>
        <v>0</v>
      </c>
      <c r="K112" s="44">
        <v>0</v>
      </c>
      <c r="L112" s="44">
        <v>0</v>
      </c>
      <c r="M112" s="45">
        <f t="shared" si="13"/>
        <v>0</v>
      </c>
      <c r="N112" s="44">
        <v>0</v>
      </c>
      <c r="O112" s="44">
        <v>0</v>
      </c>
      <c r="P112" s="46">
        <f t="shared" si="14"/>
        <v>0</v>
      </c>
      <c r="Q112" s="47">
        <f t="shared" si="15"/>
        <v>0</v>
      </c>
      <c r="R112" s="48">
        <f t="shared" si="16"/>
        <v>0</v>
      </c>
      <c r="S112" s="49">
        <v>0</v>
      </c>
      <c r="T112" s="48">
        <f t="shared" si="17"/>
        <v>0</v>
      </c>
      <c r="U112" s="50">
        <f t="shared" si="18"/>
        <v>0</v>
      </c>
      <c r="V112" s="51">
        <f t="shared" si="19"/>
        <v>0</v>
      </c>
      <c r="W112" s="52" t="str">
        <f t="shared" si="20"/>
        <v>0.0</v>
      </c>
      <c r="X112" s="53" t="str">
        <f t="shared" si="21"/>
        <v>F9</v>
      </c>
      <c r="Z112" s="71"/>
      <c r="AA112" s="71"/>
      <c r="AB112" s="71"/>
      <c r="AC112" s="71"/>
      <c r="AD112" s="71"/>
    </row>
    <row r="113" spans="1:31" ht="15.75" customHeight="1" x14ac:dyDescent="0.25">
      <c r="A113" s="41">
        <v>104</v>
      </c>
      <c r="B113" s="80"/>
      <c r="C113" s="85"/>
      <c r="D113" s="85"/>
      <c r="E113" s="44">
        <v>0</v>
      </c>
      <c r="F113" s="44">
        <v>0</v>
      </c>
      <c r="G113" s="45">
        <f t="shared" si="11"/>
        <v>0</v>
      </c>
      <c r="H113" s="44">
        <v>0</v>
      </c>
      <c r="I113" s="44">
        <v>0</v>
      </c>
      <c r="J113" s="45">
        <f t="shared" si="12"/>
        <v>0</v>
      </c>
      <c r="K113" s="44">
        <v>0</v>
      </c>
      <c r="L113" s="44">
        <v>0</v>
      </c>
      <c r="M113" s="45">
        <f t="shared" si="13"/>
        <v>0</v>
      </c>
      <c r="N113" s="44">
        <v>0</v>
      </c>
      <c r="O113" s="44">
        <v>0</v>
      </c>
      <c r="P113" s="46">
        <f t="shared" si="14"/>
        <v>0</v>
      </c>
      <c r="Q113" s="47">
        <f t="shared" si="15"/>
        <v>0</v>
      </c>
      <c r="R113" s="48">
        <f t="shared" si="16"/>
        <v>0</v>
      </c>
      <c r="S113" s="49">
        <v>0</v>
      </c>
      <c r="T113" s="48">
        <f t="shared" si="17"/>
        <v>0</v>
      </c>
      <c r="U113" s="50">
        <f t="shared" si="18"/>
        <v>0</v>
      </c>
      <c r="V113" s="51">
        <f t="shared" si="19"/>
        <v>0</v>
      </c>
      <c r="W113" s="52" t="str">
        <f t="shared" si="20"/>
        <v>0.0</v>
      </c>
      <c r="X113" s="53" t="str">
        <f t="shared" si="21"/>
        <v>F9</v>
      </c>
      <c r="Z113" s="71"/>
      <c r="AA113" s="71"/>
      <c r="AB113" s="71"/>
      <c r="AC113" s="71"/>
      <c r="AD113" s="71"/>
    </row>
    <row r="114" spans="1:31" ht="15.75" customHeight="1" x14ac:dyDescent="0.25">
      <c r="A114" s="41">
        <v>105</v>
      </c>
      <c r="B114" s="80"/>
      <c r="C114" s="85"/>
      <c r="D114" s="85"/>
      <c r="E114" s="44">
        <v>0</v>
      </c>
      <c r="F114" s="44">
        <v>0</v>
      </c>
      <c r="G114" s="45">
        <f t="shared" si="11"/>
        <v>0</v>
      </c>
      <c r="H114" s="44">
        <v>0</v>
      </c>
      <c r="I114" s="44">
        <v>0</v>
      </c>
      <c r="J114" s="45">
        <f t="shared" si="12"/>
        <v>0</v>
      </c>
      <c r="K114" s="44">
        <v>0</v>
      </c>
      <c r="L114" s="44">
        <v>0</v>
      </c>
      <c r="M114" s="45">
        <f t="shared" si="13"/>
        <v>0</v>
      </c>
      <c r="N114" s="44">
        <v>0</v>
      </c>
      <c r="O114" s="44">
        <v>0</v>
      </c>
      <c r="P114" s="46">
        <f t="shared" si="14"/>
        <v>0</v>
      </c>
      <c r="Q114" s="47">
        <f t="shared" si="15"/>
        <v>0</v>
      </c>
      <c r="R114" s="48">
        <f t="shared" si="16"/>
        <v>0</v>
      </c>
      <c r="S114" s="49">
        <v>0</v>
      </c>
      <c r="T114" s="48">
        <f t="shared" si="17"/>
        <v>0</v>
      </c>
      <c r="U114" s="50">
        <f t="shared" si="18"/>
        <v>0</v>
      </c>
      <c r="V114" s="51">
        <f t="shared" si="19"/>
        <v>0</v>
      </c>
      <c r="W114" s="52" t="str">
        <f t="shared" si="20"/>
        <v>0.0</v>
      </c>
      <c r="X114" s="53" t="str">
        <f t="shared" si="21"/>
        <v>F9</v>
      </c>
      <c r="Z114" s="71"/>
      <c r="AA114" s="71"/>
      <c r="AB114" s="71"/>
      <c r="AC114" s="71"/>
      <c r="AD114" s="71"/>
    </row>
    <row r="115" spans="1:31" ht="15.75" customHeight="1" x14ac:dyDescent="0.25">
      <c r="A115" s="41">
        <v>106</v>
      </c>
      <c r="B115" s="80"/>
      <c r="C115" s="85"/>
      <c r="D115" s="85"/>
      <c r="E115" s="44">
        <v>0</v>
      </c>
      <c r="F115" s="44">
        <v>0</v>
      </c>
      <c r="G115" s="45">
        <f t="shared" si="11"/>
        <v>0</v>
      </c>
      <c r="H115" s="44">
        <v>0</v>
      </c>
      <c r="I115" s="44">
        <v>0</v>
      </c>
      <c r="J115" s="45">
        <f t="shared" si="12"/>
        <v>0</v>
      </c>
      <c r="K115" s="44">
        <v>0</v>
      </c>
      <c r="L115" s="44">
        <v>0</v>
      </c>
      <c r="M115" s="45">
        <f t="shared" si="13"/>
        <v>0</v>
      </c>
      <c r="N115" s="44">
        <v>0</v>
      </c>
      <c r="O115" s="44">
        <v>0</v>
      </c>
      <c r="P115" s="46">
        <f t="shared" si="14"/>
        <v>0</v>
      </c>
      <c r="Q115" s="47">
        <f t="shared" si="15"/>
        <v>0</v>
      </c>
      <c r="R115" s="48">
        <f t="shared" si="16"/>
        <v>0</v>
      </c>
      <c r="S115" s="49">
        <v>0</v>
      </c>
      <c r="T115" s="48">
        <f t="shared" si="17"/>
        <v>0</v>
      </c>
      <c r="U115" s="50">
        <f t="shared" si="18"/>
        <v>0</v>
      </c>
      <c r="V115" s="51">
        <f t="shared" si="19"/>
        <v>0</v>
      </c>
      <c r="W115" s="52" t="str">
        <f t="shared" si="20"/>
        <v>0.0</v>
      </c>
      <c r="X115" s="53" t="str">
        <f t="shared" si="21"/>
        <v>F9</v>
      </c>
      <c r="Z115" s="71"/>
      <c r="AA115" s="71"/>
      <c r="AB115" s="71"/>
      <c r="AC115" s="71"/>
      <c r="AD115" s="71"/>
    </row>
    <row r="116" spans="1:31" ht="15.75" customHeight="1" x14ac:dyDescent="0.25">
      <c r="A116" s="41">
        <v>107</v>
      </c>
      <c r="B116" s="80"/>
      <c r="C116" s="85"/>
      <c r="D116" s="85"/>
      <c r="E116" s="44">
        <v>0</v>
      </c>
      <c r="F116" s="44">
        <v>0</v>
      </c>
      <c r="G116" s="45">
        <f t="shared" si="11"/>
        <v>0</v>
      </c>
      <c r="H116" s="44">
        <v>0</v>
      </c>
      <c r="I116" s="44">
        <v>0</v>
      </c>
      <c r="J116" s="45">
        <f t="shared" si="12"/>
        <v>0</v>
      </c>
      <c r="K116" s="44">
        <v>0</v>
      </c>
      <c r="L116" s="44">
        <v>0</v>
      </c>
      <c r="M116" s="45">
        <f t="shared" si="13"/>
        <v>0</v>
      </c>
      <c r="N116" s="44">
        <v>0</v>
      </c>
      <c r="O116" s="44">
        <v>0</v>
      </c>
      <c r="P116" s="46">
        <f t="shared" si="14"/>
        <v>0</v>
      </c>
      <c r="Q116" s="47">
        <f t="shared" si="15"/>
        <v>0</v>
      </c>
      <c r="R116" s="48">
        <f t="shared" si="16"/>
        <v>0</v>
      </c>
      <c r="S116" s="49">
        <v>0</v>
      </c>
      <c r="T116" s="48">
        <f t="shared" si="17"/>
        <v>0</v>
      </c>
      <c r="U116" s="50">
        <f t="shared" si="18"/>
        <v>0</v>
      </c>
      <c r="V116" s="51">
        <f t="shared" si="19"/>
        <v>0</v>
      </c>
      <c r="W116" s="52" t="str">
        <f t="shared" si="20"/>
        <v>0.0</v>
      </c>
      <c r="X116" s="53" t="str">
        <f t="shared" si="21"/>
        <v>F9</v>
      </c>
      <c r="Z116" s="71"/>
      <c r="AA116" s="71"/>
      <c r="AB116" s="71"/>
      <c r="AC116" s="71"/>
      <c r="AD116" s="71"/>
    </row>
    <row r="117" spans="1:31" ht="15.75" customHeight="1" x14ac:dyDescent="0.25">
      <c r="A117" s="41">
        <v>108</v>
      </c>
      <c r="B117" s="80"/>
      <c r="C117" s="85"/>
      <c r="D117" s="85"/>
      <c r="E117" s="44">
        <v>0</v>
      </c>
      <c r="F117" s="44">
        <v>0</v>
      </c>
      <c r="G117" s="45">
        <f t="shared" si="11"/>
        <v>0</v>
      </c>
      <c r="H117" s="44">
        <v>0</v>
      </c>
      <c r="I117" s="44">
        <v>0</v>
      </c>
      <c r="J117" s="45">
        <f t="shared" si="12"/>
        <v>0</v>
      </c>
      <c r="K117" s="44">
        <v>0</v>
      </c>
      <c r="L117" s="44">
        <v>0</v>
      </c>
      <c r="M117" s="45">
        <f t="shared" si="13"/>
        <v>0</v>
      </c>
      <c r="N117" s="44">
        <v>0</v>
      </c>
      <c r="O117" s="44">
        <v>0</v>
      </c>
      <c r="P117" s="46">
        <f t="shared" si="14"/>
        <v>0</v>
      </c>
      <c r="Q117" s="47">
        <f t="shared" si="15"/>
        <v>0</v>
      </c>
      <c r="R117" s="48">
        <f t="shared" si="16"/>
        <v>0</v>
      </c>
      <c r="S117" s="49">
        <v>0</v>
      </c>
      <c r="T117" s="48">
        <f t="shared" si="17"/>
        <v>0</v>
      </c>
      <c r="U117" s="50">
        <f t="shared" si="18"/>
        <v>0</v>
      </c>
      <c r="V117" s="51">
        <f t="shared" si="19"/>
        <v>0</v>
      </c>
      <c r="W117" s="52" t="str">
        <f t="shared" si="20"/>
        <v>0.0</v>
      </c>
      <c r="X117" s="53" t="str">
        <f t="shared" si="21"/>
        <v>F9</v>
      </c>
      <c r="Z117" s="71"/>
      <c r="AA117" s="71"/>
      <c r="AB117" s="71"/>
      <c r="AC117" s="71"/>
      <c r="AD117" s="71"/>
    </row>
    <row r="118" spans="1:31" ht="15.75" customHeight="1" x14ac:dyDescent="0.25">
      <c r="A118" s="41">
        <v>109</v>
      </c>
      <c r="B118" s="80"/>
      <c r="C118" s="85"/>
      <c r="D118" s="85"/>
      <c r="E118" s="44">
        <v>0</v>
      </c>
      <c r="F118" s="44">
        <v>0</v>
      </c>
      <c r="G118" s="45">
        <f t="shared" si="11"/>
        <v>0</v>
      </c>
      <c r="H118" s="44">
        <v>0</v>
      </c>
      <c r="I118" s="44">
        <v>0</v>
      </c>
      <c r="J118" s="45">
        <f t="shared" si="12"/>
        <v>0</v>
      </c>
      <c r="K118" s="44">
        <v>0</v>
      </c>
      <c r="L118" s="44">
        <v>0</v>
      </c>
      <c r="M118" s="45">
        <f t="shared" si="13"/>
        <v>0</v>
      </c>
      <c r="N118" s="44">
        <v>0</v>
      </c>
      <c r="O118" s="44">
        <v>0</v>
      </c>
      <c r="P118" s="46">
        <f t="shared" si="14"/>
        <v>0</v>
      </c>
      <c r="Q118" s="47">
        <f t="shared" si="15"/>
        <v>0</v>
      </c>
      <c r="R118" s="48">
        <f t="shared" si="16"/>
        <v>0</v>
      </c>
      <c r="S118" s="49">
        <v>0</v>
      </c>
      <c r="T118" s="48">
        <f t="shared" si="17"/>
        <v>0</v>
      </c>
      <c r="U118" s="50">
        <f t="shared" si="18"/>
        <v>0</v>
      </c>
      <c r="V118" s="51">
        <f t="shared" si="19"/>
        <v>0</v>
      </c>
      <c r="W118" s="52" t="str">
        <f t="shared" si="20"/>
        <v>0.0</v>
      </c>
      <c r="X118" s="53" t="str">
        <f t="shared" si="21"/>
        <v>F9</v>
      </c>
      <c r="Z118" s="71"/>
      <c r="AA118" s="71"/>
      <c r="AB118" s="71"/>
      <c r="AC118" s="71"/>
      <c r="AD118" s="71"/>
    </row>
    <row r="119" spans="1:31" ht="15.75" customHeight="1" x14ac:dyDescent="0.25">
      <c r="A119" s="41">
        <v>110</v>
      </c>
      <c r="B119" s="80"/>
      <c r="C119" s="85"/>
      <c r="D119" s="85"/>
      <c r="E119" s="44">
        <v>0</v>
      </c>
      <c r="F119" s="44">
        <v>0</v>
      </c>
      <c r="G119" s="45">
        <f t="shared" si="11"/>
        <v>0</v>
      </c>
      <c r="H119" s="44">
        <v>0</v>
      </c>
      <c r="I119" s="44">
        <v>0</v>
      </c>
      <c r="J119" s="45">
        <f t="shared" si="12"/>
        <v>0</v>
      </c>
      <c r="K119" s="44">
        <v>0</v>
      </c>
      <c r="L119" s="44">
        <v>0</v>
      </c>
      <c r="M119" s="45">
        <f t="shared" si="13"/>
        <v>0</v>
      </c>
      <c r="N119" s="44">
        <v>0</v>
      </c>
      <c r="O119" s="44">
        <v>0</v>
      </c>
      <c r="P119" s="46">
        <f t="shared" si="14"/>
        <v>0</v>
      </c>
      <c r="Q119" s="47">
        <f t="shared" si="15"/>
        <v>0</v>
      </c>
      <c r="R119" s="48">
        <f t="shared" si="16"/>
        <v>0</v>
      </c>
      <c r="S119" s="49">
        <v>0</v>
      </c>
      <c r="T119" s="48">
        <f t="shared" si="17"/>
        <v>0</v>
      </c>
      <c r="U119" s="50">
        <f t="shared" si="18"/>
        <v>0</v>
      </c>
      <c r="V119" s="51">
        <f t="shared" si="19"/>
        <v>0</v>
      </c>
      <c r="W119" s="52" t="str">
        <f t="shared" si="20"/>
        <v>0.0</v>
      </c>
      <c r="X119" s="53" t="str">
        <f t="shared" si="21"/>
        <v>F9</v>
      </c>
      <c r="Z119" s="71"/>
      <c r="AA119" s="71"/>
      <c r="AB119" s="71"/>
      <c r="AC119" s="71"/>
      <c r="AD119" s="71"/>
    </row>
    <row r="120" spans="1:31" ht="15.75" customHeight="1" x14ac:dyDescent="0.25">
      <c r="A120" s="41">
        <v>111</v>
      </c>
      <c r="B120" s="80"/>
      <c r="C120" s="85"/>
      <c r="D120" s="85"/>
      <c r="E120" s="44">
        <v>0</v>
      </c>
      <c r="F120" s="44">
        <v>0</v>
      </c>
      <c r="G120" s="45">
        <f t="shared" si="11"/>
        <v>0</v>
      </c>
      <c r="H120" s="44">
        <v>0</v>
      </c>
      <c r="I120" s="44">
        <v>0</v>
      </c>
      <c r="J120" s="45">
        <f t="shared" si="12"/>
        <v>0</v>
      </c>
      <c r="K120" s="44">
        <v>0</v>
      </c>
      <c r="L120" s="44">
        <v>0</v>
      </c>
      <c r="M120" s="45">
        <f t="shared" si="13"/>
        <v>0</v>
      </c>
      <c r="N120" s="44">
        <v>0</v>
      </c>
      <c r="O120" s="44">
        <v>0</v>
      </c>
      <c r="P120" s="46">
        <f t="shared" si="14"/>
        <v>0</v>
      </c>
      <c r="Q120" s="47">
        <f t="shared" si="15"/>
        <v>0</v>
      </c>
      <c r="R120" s="48">
        <f t="shared" si="16"/>
        <v>0</v>
      </c>
      <c r="S120" s="49">
        <v>0</v>
      </c>
      <c r="T120" s="48">
        <f t="shared" si="17"/>
        <v>0</v>
      </c>
      <c r="U120" s="50">
        <f t="shared" si="18"/>
        <v>0</v>
      </c>
      <c r="V120" s="51">
        <f t="shared" si="19"/>
        <v>0</v>
      </c>
      <c r="W120" s="52" t="str">
        <f t="shared" si="20"/>
        <v>0.0</v>
      </c>
      <c r="X120" s="53" t="str">
        <f t="shared" si="21"/>
        <v>F9</v>
      </c>
      <c r="Z120" s="71"/>
      <c r="AA120" s="71"/>
      <c r="AB120" s="71"/>
      <c r="AC120" s="71"/>
      <c r="AD120" s="71"/>
    </row>
    <row r="121" spans="1:31" ht="15.75" customHeight="1" x14ac:dyDescent="0.25">
      <c r="A121" s="41">
        <v>112</v>
      </c>
      <c r="B121" s="80"/>
      <c r="C121" s="85"/>
      <c r="D121" s="85"/>
      <c r="E121" s="44">
        <v>0</v>
      </c>
      <c r="F121" s="44">
        <v>0</v>
      </c>
      <c r="G121" s="45">
        <f t="shared" si="11"/>
        <v>0</v>
      </c>
      <c r="H121" s="44">
        <v>0</v>
      </c>
      <c r="I121" s="44">
        <v>0</v>
      </c>
      <c r="J121" s="45">
        <f t="shared" si="12"/>
        <v>0</v>
      </c>
      <c r="K121" s="44">
        <v>0</v>
      </c>
      <c r="L121" s="44">
        <v>0</v>
      </c>
      <c r="M121" s="45">
        <f t="shared" si="13"/>
        <v>0</v>
      </c>
      <c r="N121" s="44">
        <v>0</v>
      </c>
      <c r="O121" s="44">
        <v>0</v>
      </c>
      <c r="P121" s="46">
        <f t="shared" si="14"/>
        <v>0</v>
      </c>
      <c r="Q121" s="47">
        <f t="shared" si="15"/>
        <v>0</v>
      </c>
      <c r="R121" s="48">
        <f t="shared" si="16"/>
        <v>0</v>
      </c>
      <c r="S121" s="49">
        <v>0</v>
      </c>
      <c r="T121" s="48">
        <f t="shared" si="17"/>
        <v>0</v>
      </c>
      <c r="U121" s="50">
        <f t="shared" si="18"/>
        <v>0</v>
      </c>
      <c r="V121" s="51">
        <f t="shared" si="19"/>
        <v>0</v>
      </c>
      <c r="W121" s="52" t="str">
        <f t="shared" si="20"/>
        <v>0.0</v>
      </c>
      <c r="X121" s="53" t="str">
        <f t="shared" si="21"/>
        <v>F9</v>
      </c>
      <c r="Z121" s="71"/>
      <c r="AA121" s="71"/>
      <c r="AB121" s="71"/>
      <c r="AC121" s="71"/>
      <c r="AD121" s="71"/>
    </row>
    <row r="122" spans="1:31" x14ac:dyDescent="0.25">
      <c r="A122" s="86"/>
      <c r="B122" s="71"/>
      <c r="C122" s="71"/>
      <c r="D122" s="87"/>
      <c r="E122" s="87"/>
      <c r="F122" s="87"/>
      <c r="G122" s="87"/>
      <c r="H122" s="87"/>
      <c r="I122" s="87"/>
      <c r="J122" s="87"/>
      <c r="K122" s="87"/>
      <c r="L122" s="87"/>
      <c r="M122" s="87"/>
      <c r="N122" s="87"/>
      <c r="O122" s="87"/>
      <c r="P122" s="87"/>
      <c r="Q122" s="87"/>
      <c r="R122" s="87"/>
      <c r="S122" s="87"/>
      <c r="T122" s="87"/>
      <c r="U122" s="87"/>
      <c r="V122" s="87"/>
      <c r="W122" s="87"/>
      <c r="X122" s="87"/>
      <c r="Y122" s="71"/>
      <c r="Z122" s="71"/>
      <c r="AA122" s="71"/>
      <c r="AB122" s="71"/>
      <c r="AC122" s="71"/>
      <c r="AD122" s="71"/>
      <c r="AE122" s="71"/>
    </row>
    <row r="123" spans="1:31" x14ac:dyDescent="0.25">
      <c r="A123" s="86"/>
      <c r="B123" s="71"/>
      <c r="C123" s="71"/>
      <c r="D123" s="87"/>
      <c r="E123" s="87"/>
      <c r="F123" s="87"/>
      <c r="G123" s="87"/>
      <c r="H123" s="87"/>
      <c r="I123" s="87"/>
      <c r="J123" s="87"/>
      <c r="K123" s="87"/>
      <c r="L123" s="87"/>
      <c r="M123" s="87"/>
      <c r="N123" s="87"/>
      <c r="O123" s="87"/>
      <c r="P123" s="87"/>
      <c r="Q123" s="87"/>
      <c r="R123" s="87"/>
      <c r="S123" s="87"/>
      <c r="T123" s="87"/>
      <c r="U123" s="87"/>
      <c r="V123" s="87"/>
      <c r="W123" s="87"/>
      <c r="X123" s="87"/>
      <c r="Y123" s="71"/>
      <c r="Z123" s="71"/>
      <c r="AA123" s="71"/>
      <c r="AB123" s="71"/>
      <c r="AC123" s="71"/>
      <c r="AD123" s="71"/>
      <c r="AE123" s="71"/>
    </row>
    <row r="124" spans="1:31" x14ac:dyDescent="0.25">
      <c r="A124" s="86"/>
      <c r="B124" s="71"/>
      <c r="C124" s="71"/>
      <c r="D124" s="87"/>
      <c r="E124" s="87"/>
      <c r="F124" s="87"/>
      <c r="G124" s="87"/>
      <c r="H124" s="87"/>
      <c r="I124" s="87"/>
      <c r="J124" s="87"/>
      <c r="K124" s="87"/>
      <c r="L124" s="87"/>
      <c r="M124" s="87"/>
      <c r="N124" s="87"/>
      <c r="O124" s="87"/>
      <c r="P124" s="87"/>
      <c r="Q124" s="87"/>
      <c r="R124" s="87"/>
      <c r="S124" s="87"/>
      <c r="T124" s="87"/>
      <c r="U124" s="87"/>
      <c r="V124" s="87"/>
      <c r="W124" s="87"/>
      <c r="X124" s="87"/>
      <c r="Y124" s="71"/>
      <c r="Z124" s="71"/>
      <c r="AA124" s="71"/>
      <c r="AB124" s="71"/>
      <c r="AC124" s="71"/>
      <c r="AD124" s="71"/>
      <c r="AE124" s="71"/>
    </row>
    <row r="125" spans="1:31" x14ac:dyDescent="0.25">
      <c r="A125" s="88"/>
      <c r="B125" s="89"/>
      <c r="C125" s="89"/>
      <c r="D125" s="89"/>
      <c r="E125" s="36"/>
      <c r="F125" s="36"/>
      <c r="G125" s="90"/>
      <c r="H125" s="36"/>
      <c r="I125" s="91"/>
      <c r="J125" s="91"/>
      <c r="K125" s="91"/>
      <c r="L125" s="91"/>
      <c r="M125" s="90"/>
      <c r="N125" s="90"/>
      <c r="O125" s="90"/>
      <c r="P125" s="92"/>
      <c r="Q125" s="92"/>
      <c r="R125" s="92"/>
      <c r="S125" s="36"/>
      <c r="T125" s="92"/>
      <c r="U125" s="93"/>
      <c r="V125" s="94"/>
      <c r="W125" s="95"/>
      <c r="X125" s="36"/>
      <c r="Z125" s="71"/>
      <c r="AA125" s="71"/>
      <c r="AB125" s="71"/>
      <c r="AC125" s="71"/>
      <c r="AD125" s="71"/>
    </row>
    <row r="126" spans="1:31" x14ac:dyDescent="0.25">
      <c r="A126" s="96"/>
      <c r="B126" s="97" t="s">
        <v>76</v>
      </c>
      <c r="C126" s="97"/>
      <c r="D126" s="97"/>
      <c r="E126" s="98"/>
      <c r="F126" s="98"/>
      <c r="G126" s="98"/>
      <c r="H126" s="98"/>
      <c r="I126" s="98"/>
      <c r="J126" s="98"/>
      <c r="K126" s="98"/>
      <c r="L126" s="98"/>
      <c r="M126" s="98"/>
      <c r="N126" s="99"/>
      <c r="O126" s="99"/>
      <c r="P126" s="98"/>
      <c r="Q126" s="99"/>
      <c r="R126" s="98"/>
      <c r="S126" s="98"/>
      <c r="T126" s="98"/>
      <c r="U126" s="98"/>
      <c r="V126" s="100"/>
      <c r="W126" s="101" t="e">
        <v>#DIV/0!</v>
      </c>
      <c r="X126" s="102" t="e">
        <v>#DIV/0!</v>
      </c>
      <c r="Z126" s="71"/>
      <c r="AA126" s="71"/>
      <c r="AB126" s="71"/>
      <c r="AC126" s="71"/>
      <c r="AD126" s="71"/>
    </row>
    <row r="127" spans="1:31" x14ac:dyDescent="0.25">
      <c r="A127" s="96"/>
      <c r="B127" s="97" t="s">
        <v>77</v>
      </c>
      <c r="C127" s="97"/>
      <c r="D127" s="97"/>
      <c r="E127" s="98"/>
      <c r="F127" s="98"/>
      <c r="G127" s="98"/>
      <c r="H127" s="98"/>
      <c r="I127" s="98"/>
      <c r="J127" s="98"/>
      <c r="K127" s="98"/>
      <c r="L127" s="98"/>
      <c r="M127" s="98"/>
      <c r="N127" s="99"/>
      <c r="O127" s="99"/>
      <c r="P127" s="98"/>
      <c r="Q127" s="99"/>
      <c r="R127" s="98"/>
      <c r="S127" s="98"/>
      <c r="T127" s="98"/>
      <c r="U127" s="98"/>
      <c r="V127" s="100"/>
      <c r="W127" s="101" t="e">
        <v>#NUM!</v>
      </c>
      <c r="Z127" s="71"/>
      <c r="AA127" s="71"/>
      <c r="AB127" s="71"/>
      <c r="AC127" s="71"/>
      <c r="AD127" s="71"/>
    </row>
    <row r="128" spans="1:31" x14ac:dyDescent="0.25">
      <c r="A128" s="96"/>
      <c r="B128" s="97" t="s">
        <v>78</v>
      </c>
      <c r="C128" s="97"/>
      <c r="D128" s="97"/>
      <c r="E128" s="98"/>
      <c r="F128" s="98"/>
      <c r="G128" s="98"/>
      <c r="H128" s="98"/>
      <c r="I128" s="98"/>
      <c r="J128" s="98"/>
      <c r="K128" s="98"/>
      <c r="L128" s="98"/>
      <c r="M128" s="98"/>
      <c r="N128" s="99"/>
      <c r="O128" s="99"/>
      <c r="P128" s="98"/>
      <c r="Q128" s="99"/>
      <c r="R128" s="98"/>
      <c r="S128" s="98"/>
      <c r="T128" s="98"/>
      <c r="U128" s="98"/>
      <c r="V128" s="100"/>
      <c r="W128" s="101" t="e">
        <v>#DIV/0!</v>
      </c>
      <c r="X128" s="103" t="s">
        <v>79</v>
      </c>
    </row>
  </sheetData>
  <mergeCells count="4">
    <mergeCell ref="K6:L6"/>
    <mergeCell ref="E6:F6"/>
    <mergeCell ref="H6:I6"/>
    <mergeCell ref="Z39:AA39"/>
  </mergeCells>
  <dataValidations count="1">
    <dataValidation type="list" allowBlank="1" showInputMessage="1" showErrorMessage="1" sqref="AA22" xr:uid="{00000000-0002-0000-0000-000000000000}">
      <formula1>"Yes,No"</formula1>
    </dataValidation>
  </dataValidations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ASSESSMENT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Derrick Affoh Amoah</dc:creator>
  <cp:lastModifiedBy>Derrick Affoh Amoah</cp:lastModifiedBy>
  <dcterms:created xsi:type="dcterms:W3CDTF">2025-11-16T21:04:11Z</dcterms:created>
  <dcterms:modified xsi:type="dcterms:W3CDTF">2026-01-02T12:21:19Z</dcterms:modified>
</cp:coreProperties>
</file>